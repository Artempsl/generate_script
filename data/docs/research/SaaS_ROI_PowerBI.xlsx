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pit\w5\generate_script\research\"/>
    </mc:Choice>
  </mc:AlternateContent>
  <xr:revisionPtr revIDLastSave="0" documentId="13_ncr:1_{11E98325-7E0C-4A2C-982B-D0CDD08B8BD5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Parameters" sheetId="1" r:id="rId1"/>
    <sheet name="Monthly_Data" sheetId="2" r:id="rId2"/>
    <sheet name="Fixed_Cost_Tiers" sheetId="3" r:id="rId3"/>
    <sheet name="DAX_Guid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109" i="2" l="1"/>
  <c r="V109" i="2"/>
  <c r="U109" i="2"/>
  <c r="T109" i="2"/>
  <c r="S109" i="2"/>
  <c r="R109" i="2"/>
  <c r="W108" i="2"/>
  <c r="V108" i="2"/>
  <c r="U108" i="2"/>
  <c r="T108" i="2"/>
  <c r="S108" i="2"/>
  <c r="R108" i="2"/>
  <c r="W107" i="2"/>
  <c r="V107" i="2"/>
  <c r="U107" i="2"/>
  <c r="T107" i="2"/>
  <c r="S107" i="2"/>
  <c r="R107" i="2"/>
  <c r="W106" i="2"/>
  <c r="V106" i="2"/>
  <c r="U106" i="2"/>
  <c r="T106" i="2"/>
  <c r="S106" i="2"/>
  <c r="R106" i="2"/>
  <c r="W105" i="2"/>
  <c r="V105" i="2"/>
  <c r="U105" i="2"/>
  <c r="T105" i="2"/>
  <c r="S105" i="2"/>
  <c r="R105" i="2"/>
  <c r="W104" i="2"/>
  <c r="V104" i="2"/>
  <c r="U104" i="2"/>
  <c r="T104" i="2"/>
  <c r="S104" i="2"/>
  <c r="R104" i="2"/>
  <c r="W103" i="2"/>
  <c r="V103" i="2"/>
  <c r="U103" i="2"/>
  <c r="T103" i="2"/>
  <c r="S103" i="2"/>
  <c r="R103" i="2"/>
  <c r="W102" i="2"/>
  <c r="V102" i="2"/>
  <c r="U102" i="2"/>
  <c r="T102" i="2"/>
  <c r="S102" i="2"/>
  <c r="R102" i="2"/>
  <c r="W101" i="2"/>
  <c r="V101" i="2"/>
  <c r="U101" i="2"/>
  <c r="T101" i="2"/>
  <c r="S101" i="2"/>
  <c r="R101" i="2"/>
  <c r="W100" i="2"/>
  <c r="V100" i="2"/>
  <c r="U100" i="2"/>
  <c r="T100" i="2"/>
  <c r="S100" i="2"/>
  <c r="R100" i="2"/>
  <c r="W99" i="2"/>
  <c r="V99" i="2"/>
  <c r="U99" i="2"/>
  <c r="T99" i="2"/>
  <c r="S99" i="2"/>
  <c r="R99" i="2"/>
  <c r="W98" i="2"/>
  <c r="V98" i="2"/>
  <c r="U98" i="2"/>
  <c r="T98" i="2"/>
  <c r="S98" i="2"/>
  <c r="R98" i="2"/>
  <c r="W97" i="2"/>
  <c r="V97" i="2"/>
  <c r="U97" i="2"/>
  <c r="T97" i="2"/>
  <c r="S97" i="2"/>
  <c r="R97" i="2"/>
  <c r="W96" i="2"/>
  <c r="V96" i="2"/>
  <c r="U96" i="2"/>
  <c r="T96" i="2"/>
  <c r="S96" i="2"/>
  <c r="R96" i="2"/>
  <c r="W95" i="2"/>
  <c r="V95" i="2"/>
  <c r="U95" i="2"/>
  <c r="T95" i="2"/>
  <c r="S95" i="2"/>
  <c r="R95" i="2"/>
  <c r="W94" i="2"/>
  <c r="V94" i="2"/>
  <c r="U94" i="2"/>
  <c r="T94" i="2"/>
  <c r="S94" i="2"/>
  <c r="R94" i="2"/>
  <c r="W93" i="2"/>
  <c r="V93" i="2"/>
  <c r="U93" i="2"/>
  <c r="T93" i="2"/>
  <c r="S93" i="2"/>
  <c r="R93" i="2"/>
  <c r="W92" i="2"/>
  <c r="V92" i="2"/>
  <c r="U92" i="2"/>
  <c r="T92" i="2"/>
  <c r="S92" i="2"/>
  <c r="R92" i="2"/>
  <c r="W91" i="2"/>
  <c r="V91" i="2"/>
  <c r="U91" i="2"/>
  <c r="T91" i="2"/>
  <c r="S91" i="2"/>
  <c r="R91" i="2"/>
  <c r="W90" i="2"/>
  <c r="V90" i="2"/>
  <c r="U90" i="2"/>
  <c r="T90" i="2"/>
  <c r="S90" i="2"/>
  <c r="R90" i="2"/>
  <c r="W89" i="2"/>
  <c r="V89" i="2"/>
  <c r="U89" i="2"/>
  <c r="T89" i="2"/>
  <c r="S89" i="2"/>
  <c r="R89" i="2"/>
  <c r="W88" i="2"/>
  <c r="V88" i="2"/>
  <c r="U88" i="2"/>
  <c r="T88" i="2"/>
  <c r="S88" i="2"/>
  <c r="R88" i="2"/>
  <c r="W87" i="2"/>
  <c r="V87" i="2"/>
  <c r="U87" i="2"/>
  <c r="T87" i="2"/>
  <c r="S87" i="2"/>
  <c r="R87" i="2"/>
  <c r="W86" i="2"/>
  <c r="V86" i="2"/>
  <c r="U86" i="2"/>
  <c r="T86" i="2"/>
  <c r="S86" i="2"/>
  <c r="R86" i="2"/>
  <c r="W85" i="2"/>
  <c r="V85" i="2"/>
  <c r="U85" i="2"/>
  <c r="T85" i="2"/>
  <c r="S85" i="2"/>
  <c r="R85" i="2"/>
  <c r="W84" i="2"/>
  <c r="V84" i="2"/>
  <c r="U84" i="2"/>
  <c r="T84" i="2"/>
  <c r="S84" i="2"/>
  <c r="R84" i="2"/>
  <c r="W83" i="2"/>
  <c r="V83" i="2"/>
  <c r="U83" i="2"/>
  <c r="T83" i="2"/>
  <c r="S83" i="2"/>
  <c r="R83" i="2"/>
  <c r="W82" i="2"/>
  <c r="V82" i="2"/>
  <c r="U82" i="2"/>
  <c r="T82" i="2"/>
  <c r="S82" i="2"/>
  <c r="R82" i="2"/>
  <c r="W81" i="2"/>
  <c r="V81" i="2"/>
  <c r="U81" i="2"/>
  <c r="T81" i="2"/>
  <c r="S81" i="2"/>
  <c r="R81" i="2"/>
  <c r="W80" i="2"/>
  <c r="V80" i="2"/>
  <c r="U80" i="2"/>
  <c r="T80" i="2"/>
  <c r="S80" i="2"/>
  <c r="R80" i="2"/>
  <c r="W79" i="2"/>
  <c r="V79" i="2"/>
  <c r="U79" i="2"/>
  <c r="T79" i="2"/>
  <c r="S79" i="2"/>
  <c r="R79" i="2"/>
  <c r="W78" i="2"/>
  <c r="V78" i="2"/>
  <c r="U78" i="2"/>
  <c r="T78" i="2"/>
  <c r="S78" i="2"/>
  <c r="R78" i="2"/>
  <c r="W77" i="2"/>
  <c r="V77" i="2"/>
  <c r="U77" i="2"/>
  <c r="T77" i="2"/>
  <c r="S77" i="2"/>
  <c r="R77" i="2"/>
  <c r="W76" i="2"/>
  <c r="V76" i="2"/>
  <c r="U76" i="2"/>
  <c r="T76" i="2"/>
  <c r="S76" i="2"/>
  <c r="R76" i="2"/>
  <c r="W75" i="2"/>
  <c r="V75" i="2"/>
  <c r="U75" i="2"/>
  <c r="T75" i="2"/>
  <c r="S75" i="2"/>
  <c r="R75" i="2"/>
  <c r="W74" i="2"/>
  <c r="V74" i="2"/>
  <c r="U74" i="2"/>
  <c r="T74" i="2"/>
  <c r="S74" i="2"/>
  <c r="R74" i="2"/>
  <c r="I74" i="2"/>
  <c r="E74" i="2" s="1"/>
  <c r="G74" i="2"/>
  <c r="F74" i="2"/>
  <c r="W73" i="2"/>
  <c r="V73" i="2"/>
  <c r="U73" i="2"/>
  <c r="T73" i="2"/>
  <c r="S73" i="2"/>
  <c r="R73" i="2"/>
  <c r="W72" i="2"/>
  <c r="V72" i="2"/>
  <c r="U72" i="2"/>
  <c r="T72" i="2"/>
  <c r="S72" i="2"/>
  <c r="R72" i="2"/>
  <c r="W71" i="2"/>
  <c r="V71" i="2"/>
  <c r="U71" i="2"/>
  <c r="T71" i="2"/>
  <c r="S71" i="2"/>
  <c r="R71" i="2"/>
  <c r="W70" i="2"/>
  <c r="V70" i="2"/>
  <c r="U70" i="2"/>
  <c r="T70" i="2"/>
  <c r="S70" i="2"/>
  <c r="R70" i="2"/>
  <c r="W69" i="2"/>
  <c r="V69" i="2"/>
  <c r="U69" i="2"/>
  <c r="T69" i="2"/>
  <c r="S69" i="2"/>
  <c r="R69" i="2"/>
  <c r="W68" i="2"/>
  <c r="V68" i="2"/>
  <c r="U68" i="2"/>
  <c r="T68" i="2"/>
  <c r="S68" i="2"/>
  <c r="R68" i="2"/>
  <c r="W67" i="2"/>
  <c r="V67" i="2"/>
  <c r="U67" i="2"/>
  <c r="T67" i="2"/>
  <c r="S67" i="2"/>
  <c r="R67" i="2"/>
  <c r="W66" i="2"/>
  <c r="V66" i="2"/>
  <c r="U66" i="2"/>
  <c r="T66" i="2"/>
  <c r="S66" i="2"/>
  <c r="R66" i="2"/>
  <c r="W65" i="2"/>
  <c r="V65" i="2"/>
  <c r="U65" i="2"/>
  <c r="T65" i="2"/>
  <c r="S65" i="2"/>
  <c r="R65" i="2"/>
  <c r="W64" i="2"/>
  <c r="V64" i="2"/>
  <c r="U64" i="2"/>
  <c r="T64" i="2"/>
  <c r="S64" i="2"/>
  <c r="R64" i="2"/>
  <c r="W63" i="2"/>
  <c r="V63" i="2"/>
  <c r="U63" i="2"/>
  <c r="T63" i="2"/>
  <c r="S63" i="2"/>
  <c r="R63" i="2"/>
  <c r="W62" i="2"/>
  <c r="V62" i="2"/>
  <c r="U62" i="2"/>
  <c r="T62" i="2"/>
  <c r="S62" i="2"/>
  <c r="R62" i="2"/>
  <c r="W61" i="2"/>
  <c r="V61" i="2"/>
  <c r="U61" i="2"/>
  <c r="T61" i="2"/>
  <c r="S61" i="2"/>
  <c r="R61" i="2"/>
  <c r="W60" i="2"/>
  <c r="V60" i="2"/>
  <c r="U60" i="2"/>
  <c r="T60" i="2"/>
  <c r="S60" i="2"/>
  <c r="R60" i="2"/>
  <c r="W59" i="2"/>
  <c r="V59" i="2"/>
  <c r="U59" i="2"/>
  <c r="T59" i="2"/>
  <c r="S59" i="2"/>
  <c r="R59" i="2"/>
  <c r="W58" i="2"/>
  <c r="V58" i="2"/>
  <c r="U58" i="2"/>
  <c r="T58" i="2"/>
  <c r="S58" i="2"/>
  <c r="R58" i="2"/>
  <c r="W57" i="2"/>
  <c r="V57" i="2"/>
  <c r="U57" i="2"/>
  <c r="T57" i="2"/>
  <c r="S57" i="2"/>
  <c r="R57" i="2"/>
  <c r="W56" i="2"/>
  <c r="V56" i="2"/>
  <c r="U56" i="2"/>
  <c r="T56" i="2"/>
  <c r="S56" i="2"/>
  <c r="R56" i="2"/>
  <c r="W55" i="2"/>
  <c r="V55" i="2"/>
  <c r="U55" i="2"/>
  <c r="T55" i="2"/>
  <c r="S55" i="2"/>
  <c r="R55" i="2"/>
  <c r="W54" i="2"/>
  <c r="V54" i="2"/>
  <c r="U54" i="2"/>
  <c r="T54" i="2"/>
  <c r="S54" i="2"/>
  <c r="R54" i="2"/>
  <c r="W53" i="2"/>
  <c r="V53" i="2"/>
  <c r="U53" i="2"/>
  <c r="T53" i="2"/>
  <c r="S53" i="2"/>
  <c r="R53" i="2"/>
  <c r="W52" i="2"/>
  <c r="V52" i="2"/>
  <c r="U52" i="2"/>
  <c r="T52" i="2"/>
  <c r="S52" i="2"/>
  <c r="R52" i="2"/>
  <c r="W51" i="2"/>
  <c r="V51" i="2"/>
  <c r="U51" i="2"/>
  <c r="T51" i="2"/>
  <c r="S51" i="2"/>
  <c r="R51" i="2"/>
  <c r="W50" i="2"/>
  <c r="V50" i="2"/>
  <c r="U50" i="2"/>
  <c r="T50" i="2"/>
  <c r="S50" i="2"/>
  <c r="R50" i="2"/>
  <c r="W49" i="2"/>
  <c r="V49" i="2"/>
  <c r="U49" i="2"/>
  <c r="T49" i="2"/>
  <c r="S49" i="2"/>
  <c r="R49" i="2"/>
  <c r="W48" i="2"/>
  <c r="V48" i="2"/>
  <c r="U48" i="2"/>
  <c r="T48" i="2"/>
  <c r="S48" i="2"/>
  <c r="R48" i="2"/>
  <c r="W47" i="2"/>
  <c r="V47" i="2"/>
  <c r="U47" i="2"/>
  <c r="T47" i="2"/>
  <c r="S47" i="2"/>
  <c r="R47" i="2"/>
  <c r="W46" i="2"/>
  <c r="V46" i="2"/>
  <c r="U46" i="2"/>
  <c r="T46" i="2"/>
  <c r="S46" i="2"/>
  <c r="R46" i="2"/>
  <c r="W45" i="2"/>
  <c r="V45" i="2"/>
  <c r="U45" i="2"/>
  <c r="T45" i="2"/>
  <c r="S45" i="2"/>
  <c r="R45" i="2"/>
  <c r="W44" i="2"/>
  <c r="V44" i="2"/>
  <c r="U44" i="2"/>
  <c r="T44" i="2"/>
  <c r="S44" i="2"/>
  <c r="R44" i="2"/>
  <c r="W43" i="2"/>
  <c r="V43" i="2"/>
  <c r="U43" i="2"/>
  <c r="T43" i="2"/>
  <c r="S43" i="2"/>
  <c r="R43" i="2"/>
  <c r="W42" i="2"/>
  <c r="V42" i="2"/>
  <c r="U42" i="2"/>
  <c r="T42" i="2"/>
  <c r="S42" i="2"/>
  <c r="R42" i="2"/>
  <c r="W41" i="2"/>
  <c r="V41" i="2"/>
  <c r="U41" i="2"/>
  <c r="T41" i="2"/>
  <c r="S41" i="2"/>
  <c r="R41" i="2"/>
  <c r="W40" i="2"/>
  <c r="V40" i="2"/>
  <c r="U40" i="2"/>
  <c r="T40" i="2"/>
  <c r="S40" i="2"/>
  <c r="R40" i="2"/>
  <c r="W39" i="2"/>
  <c r="V39" i="2"/>
  <c r="U39" i="2"/>
  <c r="T39" i="2"/>
  <c r="S39" i="2"/>
  <c r="R39" i="2"/>
  <c r="W38" i="2"/>
  <c r="V38" i="2"/>
  <c r="U38" i="2"/>
  <c r="T38" i="2"/>
  <c r="S38" i="2"/>
  <c r="R38" i="2"/>
  <c r="I38" i="2"/>
  <c r="G38" i="2"/>
  <c r="F38" i="2"/>
  <c r="W37" i="2"/>
  <c r="V37" i="2"/>
  <c r="U37" i="2"/>
  <c r="T37" i="2"/>
  <c r="S37" i="2"/>
  <c r="R37" i="2"/>
  <c r="W36" i="2"/>
  <c r="V36" i="2"/>
  <c r="U36" i="2"/>
  <c r="T36" i="2"/>
  <c r="S36" i="2"/>
  <c r="R36" i="2"/>
  <c r="W35" i="2"/>
  <c r="V35" i="2"/>
  <c r="U35" i="2"/>
  <c r="T35" i="2"/>
  <c r="S35" i="2"/>
  <c r="R35" i="2"/>
  <c r="W34" i="2"/>
  <c r="V34" i="2"/>
  <c r="U34" i="2"/>
  <c r="T34" i="2"/>
  <c r="S34" i="2"/>
  <c r="R34" i="2"/>
  <c r="W33" i="2"/>
  <c r="V33" i="2"/>
  <c r="U33" i="2"/>
  <c r="T33" i="2"/>
  <c r="S33" i="2"/>
  <c r="R33" i="2"/>
  <c r="W32" i="2"/>
  <c r="V32" i="2"/>
  <c r="U32" i="2"/>
  <c r="T32" i="2"/>
  <c r="S32" i="2"/>
  <c r="R32" i="2"/>
  <c r="W31" i="2"/>
  <c r="V31" i="2"/>
  <c r="U31" i="2"/>
  <c r="T31" i="2"/>
  <c r="S31" i="2"/>
  <c r="R31" i="2"/>
  <c r="W30" i="2"/>
  <c r="V30" i="2"/>
  <c r="U30" i="2"/>
  <c r="T30" i="2"/>
  <c r="S30" i="2"/>
  <c r="R30" i="2"/>
  <c r="W29" i="2"/>
  <c r="V29" i="2"/>
  <c r="U29" i="2"/>
  <c r="T29" i="2"/>
  <c r="S29" i="2"/>
  <c r="R29" i="2"/>
  <c r="W28" i="2"/>
  <c r="V28" i="2"/>
  <c r="U28" i="2"/>
  <c r="T28" i="2"/>
  <c r="S28" i="2"/>
  <c r="R28" i="2"/>
  <c r="W27" i="2"/>
  <c r="V27" i="2"/>
  <c r="U27" i="2"/>
  <c r="T27" i="2"/>
  <c r="S27" i="2"/>
  <c r="R27" i="2"/>
  <c r="W26" i="2"/>
  <c r="V26" i="2"/>
  <c r="U26" i="2"/>
  <c r="T26" i="2"/>
  <c r="S26" i="2"/>
  <c r="R26" i="2"/>
  <c r="W25" i="2"/>
  <c r="V25" i="2"/>
  <c r="U25" i="2"/>
  <c r="T25" i="2"/>
  <c r="S25" i="2"/>
  <c r="R25" i="2"/>
  <c r="W24" i="2"/>
  <c r="V24" i="2"/>
  <c r="U24" i="2"/>
  <c r="T24" i="2"/>
  <c r="S24" i="2"/>
  <c r="R24" i="2"/>
  <c r="W23" i="2"/>
  <c r="V23" i="2"/>
  <c r="U23" i="2"/>
  <c r="T23" i="2"/>
  <c r="S23" i="2"/>
  <c r="R23" i="2"/>
  <c r="W22" i="2"/>
  <c r="V22" i="2"/>
  <c r="U22" i="2"/>
  <c r="T22" i="2"/>
  <c r="S22" i="2"/>
  <c r="R22" i="2"/>
  <c r="W21" i="2"/>
  <c r="V21" i="2"/>
  <c r="U21" i="2"/>
  <c r="T21" i="2"/>
  <c r="S21" i="2"/>
  <c r="R21" i="2"/>
  <c r="W20" i="2"/>
  <c r="V20" i="2"/>
  <c r="U20" i="2"/>
  <c r="T20" i="2"/>
  <c r="S20" i="2"/>
  <c r="R20" i="2"/>
  <c r="W19" i="2"/>
  <c r="V19" i="2"/>
  <c r="U19" i="2"/>
  <c r="T19" i="2"/>
  <c r="S19" i="2"/>
  <c r="R19" i="2"/>
  <c r="W18" i="2"/>
  <c r="V18" i="2"/>
  <c r="U18" i="2"/>
  <c r="T18" i="2"/>
  <c r="S18" i="2"/>
  <c r="R18" i="2"/>
  <c r="W17" i="2"/>
  <c r="V17" i="2"/>
  <c r="U17" i="2"/>
  <c r="T17" i="2"/>
  <c r="S17" i="2"/>
  <c r="R17" i="2"/>
  <c r="W16" i="2"/>
  <c r="V16" i="2"/>
  <c r="U16" i="2"/>
  <c r="T16" i="2"/>
  <c r="S16" i="2"/>
  <c r="R16" i="2"/>
  <c r="W15" i="2"/>
  <c r="V15" i="2"/>
  <c r="U15" i="2"/>
  <c r="T15" i="2"/>
  <c r="S15" i="2"/>
  <c r="R15" i="2"/>
  <c r="W14" i="2"/>
  <c r="V14" i="2"/>
  <c r="U14" i="2"/>
  <c r="T14" i="2"/>
  <c r="S14" i="2"/>
  <c r="R14" i="2"/>
  <c r="W13" i="2"/>
  <c r="V13" i="2"/>
  <c r="U13" i="2"/>
  <c r="T13" i="2"/>
  <c r="S13" i="2"/>
  <c r="R13" i="2"/>
  <c r="W12" i="2"/>
  <c r="V12" i="2"/>
  <c r="U12" i="2"/>
  <c r="T12" i="2"/>
  <c r="S12" i="2"/>
  <c r="R12" i="2"/>
  <c r="W11" i="2"/>
  <c r="V11" i="2"/>
  <c r="U11" i="2"/>
  <c r="T11" i="2"/>
  <c r="S11" i="2"/>
  <c r="R11" i="2"/>
  <c r="W10" i="2"/>
  <c r="V10" i="2"/>
  <c r="U10" i="2"/>
  <c r="T10" i="2"/>
  <c r="S10" i="2"/>
  <c r="R10" i="2"/>
  <c r="W9" i="2"/>
  <c r="V9" i="2"/>
  <c r="U9" i="2"/>
  <c r="T9" i="2"/>
  <c r="S9" i="2"/>
  <c r="R9" i="2"/>
  <c r="W8" i="2"/>
  <c r="V8" i="2"/>
  <c r="U8" i="2"/>
  <c r="T8" i="2"/>
  <c r="S8" i="2"/>
  <c r="R8" i="2"/>
  <c r="W7" i="2"/>
  <c r="V7" i="2"/>
  <c r="U7" i="2"/>
  <c r="T7" i="2"/>
  <c r="S7" i="2"/>
  <c r="R7" i="2"/>
  <c r="W6" i="2"/>
  <c r="V6" i="2"/>
  <c r="U6" i="2"/>
  <c r="T6" i="2"/>
  <c r="S6" i="2"/>
  <c r="R6" i="2"/>
  <c r="W5" i="2"/>
  <c r="V5" i="2"/>
  <c r="U5" i="2"/>
  <c r="T5" i="2"/>
  <c r="S5" i="2"/>
  <c r="R5" i="2"/>
  <c r="W4" i="2"/>
  <c r="V4" i="2"/>
  <c r="U4" i="2"/>
  <c r="T4" i="2"/>
  <c r="S4" i="2"/>
  <c r="R4" i="2"/>
  <c r="W3" i="2"/>
  <c r="V3" i="2"/>
  <c r="U3" i="2"/>
  <c r="T3" i="2"/>
  <c r="S3" i="2"/>
  <c r="R3" i="2"/>
  <c r="W2" i="2"/>
  <c r="V2" i="2"/>
  <c r="U2" i="2"/>
  <c r="T2" i="2"/>
  <c r="S2" i="2"/>
  <c r="R2" i="2"/>
  <c r="K2" i="2"/>
  <c r="I2" i="2"/>
  <c r="G2" i="2"/>
  <c r="F2" i="2"/>
  <c r="E2" i="2"/>
  <c r="D2" i="2" s="1"/>
  <c r="F3" i="2" s="1"/>
  <c r="D74" i="2" l="1"/>
  <c r="H2" i="2"/>
  <c r="G3" i="2"/>
  <c r="J2" i="2"/>
  <c r="L2" i="2" s="1"/>
  <c r="E38" i="2"/>
  <c r="D38" i="2" s="1"/>
  <c r="G75" i="2"/>
  <c r="F75" i="2"/>
  <c r="K74" i="2"/>
  <c r="L74" i="2" s="1"/>
  <c r="J74" i="2"/>
  <c r="H74" i="2"/>
  <c r="G39" i="2" l="1"/>
  <c r="J38" i="2"/>
  <c r="K38" i="2"/>
  <c r="H38" i="2"/>
  <c r="F39" i="2"/>
  <c r="I75" i="2"/>
  <c r="N74" i="2"/>
  <c r="O74" i="2" s="1"/>
  <c r="M74" i="2"/>
  <c r="P74" i="2" s="1"/>
  <c r="M2" i="2"/>
  <c r="P2" i="2" s="1"/>
  <c r="N2" i="2"/>
  <c r="O2" i="2" s="1"/>
  <c r="I3" i="2"/>
  <c r="X2" i="2" l="1"/>
  <c r="E75" i="2"/>
  <c r="D75" i="2" s="1"/>
  <c r="E3" i="2"/>
  <c r="D3" i="2" s="1"/>
  <c r="X74" i="2"/>
  <c r="Q2" i="2"/>
  <c r="I39" i="2"/>
  <c r="M38" i="2"/>
  <c r="P38" i="2" s="1"/>
  <c r="Q74" i="2"/>
  <c r="L38" i="2"/>
  <c r="N38" i="2" s="1"/>
  <c r="O38" i="2" l="1"/>
  <c r="Q38" i="2"/>
  <c r="G4" i="2"/>
  <c r="F4" i="2"/>
  <c r="K3" i="2"/>
  <c r="J3" i="2"/>
  <c r="H3" i="2"/>
  <c r="E39" i="2"/>
  <c r="D39" i="2" s="1"/>
  <c r="J75" i="2"/>
  <c r="H75" i="2"/>
  <c r="G76" i="2"/>
  <c r="F76" i="2"/>
  <c r="K75" i="2"/>
  <c r="L3" i="2" l="1"/>
  <c r="I76" i="2"/>
  <c r="M75" i="2"/>
  <c r="P75" i="2" s="1"/>
  <c r="N3" i="2"/>
  <c r="O3" i="2" s="1"/>
  <c r="M3" i="2"/>
  <c r="P3" i="2" s="1"/>
  <c r="I4" i="2"/>
  <c r="L75" i="2"/>
  <c r="N75" i="2" s="1"/>
  <c r="O75" i="2" s="1"/>
  <c r="J39" i="2"/>
  <c r="H39" i="2"/>
  <c r="G40" i="2"/>
  <c r="K39" i="2"/>
  <c r="F40" i="2"/>
  <c r="X38" i="2"/>
  <c r="L39" i="2" l="1"/>
  <c r="M39" i="2"/>
  <c r="P39" i="2" s="1"/>
  <c r="I40" i="2"/>
  <c r="N39" i="2"/>
  <c r="O39" i="2" s="1"/>
  <c r="E76" i="2"/>
  <c r="D76" i="2" s="1"/>
  <c r="X3" i="2"/>
  <c r="X75" i="2"/>
  <c r="E4" i="2"/>
  <c r="D4" i="2" s="1"/>
  <c r="Q3" i="2"/>
  <c r="Q75" i="2"/>
  <c r="X39" i="2" l="1"/>
  <c r="G77" i="2"/>
  <c r="F77" i="2"/>
  <c r="K76" i="2"/>
  <c r="J76" i="2"/>
  <c r="H76" i="2"/>
  <c r="E40" i="2"/>
  <c r="D40" i="2" s="1"/>
  <c r="Q39" i="2"/>
  <c r="J4" i="2"/>
  <c r="F5" i="2"/>
  <c r="G5" i="2"/>
  <c r="H4" i="2"/>
  <c r="K4" i="2"/>
  <c r="L4" i="2" l="1"/>
  <c r="I5" i="2"/>
  <c r="N4" i="2"/>
  <c r="O4" i="2" s="1"/>
  <c r="M4" i="2"/>
  <c r="Q4" i="2"/>
  <c r="P4" i="2"/>
  <c r="M76" i="2"/>
  <c r="P76" i="2"/>
  <c r="I77" i="2"/>
  <c r="L76" i="2"/>
  <c r="N76" i="2" s="1"/>
  <c r="G41" i="2"/>
  <c r="F41" i="2"/>
  <c r="K40" i="2"/>
  <c r="J40" i="2"/>
  <c r="H40" i="2"/>
  <c r="L40" i="2" l="1"/>
  <c r="O76" i="2"/>
  <c r="Q76" i="2"/>
  <c r="X4" i="2"/>
  <c r="M40" i="2"/>
  <c r="P40" i="2" s="1"/>
  <c r="N40" i="2"/>
  <c r="O40" i="2" s="1"/>
  <c r="I41" i="2"/>
  <c r="E77" i="2"/>
  <c r="D77" i="2" s="1"/>
  <c r="E5" i="2"/>
  <c r="D5" i="2" s="1"/>
  <c r="Q40" i="2" l="1"/>
  <c r="X40" i="2"/>
  <c r="J5" i="2"/>
  <c r="H5" i="2"/>
  <c r="F6" i="2"/>
  <c r="K5" i="2"/>
  <c r="G6" i="2"/>
  <c r="H77" i="2"/>
  <c r="G78" i="2"/>
  <c r="F78" i="2"/>
  <c r="K77" i="2"/>
  <c r="J77" i="2"/>
  <c r="L77" i="2" s="1"/>
  <c r="E41" i="2"/>
  <c r="D41" i="2" s="1"/>
  <c r="X76" i="2"/>
  <c r="H41" i="2" l="1"/>
  <c r="F42" i="2"/>
  <c r="K41" i="2"/>
  <c r="G42" i="2"/>
  <c r="J41" i="2"/>
  <c r="L41" i="2" s="1"/>
  <c r="M5" i="2"/>
  <c r="P5" i="2" s="1"/>
  <c r="I6" i="2"/>
  <c r="L5" i="2"/>
  <c r="N5" i="2" s="1"/>
  <c r="I78" i="2"/>
  <c r="N77" i="2"/>
  <c r="O77" i="2" s="1"/>
  <c r="M77" i="2"/>
  <c r="P77" i="2" s="1"/>
  <c r="O5" i="2" l="1"/>
  <c r="Q5" i="2"/>
  <c r="E6" i="2"/>
  <c r="D6" i="2" s="1"/>
  <c r="X77" i="2"/>
  <c r="E78" i="2"/>
  <c r="D78" i="2" s="1"/>
  <c r="Q77" i="2"/>
  <c r="I42" i="2"/>
  <c r="N41" i="2"/>
  <c r="O41" i="2" s="1"/>
  <c r="M41" i="2"/>
  <c r="P41" i="2" s="1"/>
  <c r="Q41" i="2" l="1"/>
  <c r="E42" i="2"/>
  <c r="D42" i="2" s="1"/>
  <c r="F79" i="2"/>
  <c r="K78" i="2"/>
  <c r="J78" i="2"/>
  <c r="L78" i="2" s="1"/>
  <c r="H78" i="2"/>
  <c r="G79" i="2"/>
  <c r="X41" i="2"/>
  <c r="G7" i="2"/>
  <c r="F7" i="2"/>
  <c r="K6" i="2"/>
  <c r="H6" i="2"/>
  <c r="J6" i="2"/>
  <c r="L6" i="2" s="1"/>
  <c r="X5" i="2"/>
  <c r="M6" i="2" l="1"/>
  <c r="P6" i="2" s="1"/>
  <c r="N6" i="2"/>
  <c r="O6" i="2" s="1"/>
  <c r="I7" i="2"/>
  <c r="Q6" i="2"/>
  <c r="I79" i="2"/>
  <c r="N78" i="2"/>
  <c r="O78" i="2" s="1"/>
  <c r="M78" i="2"/>
  <c r="P78" i="2" s="1"/>
  <c r="F43" i="2"/>
  <c r="K42" i="2"/>
  <c r="J42" i="2"/>
  <c r="H42" i="2"/>
  <c r="G43" i="2"/>
  <c r="Q78" i="2" l="1"/>
  <c r="L42" i="2"/>
  <c r="I43" i="2"/>
  <c r="N42" i="2"/>
  <c r="O42" i="2" s="1"/>
  <c r="M42" i="2"/>
  <c r="P42" i="2" s="1"/>
  <c r="X6" i="2"/>
  <c r="E79" i="2"/>
  <c r="D79" i="2" s="1"/>
  <c r="E7" i="2"/>
  <c r="D7" i="2" s="1"/>
  <c r="X78" i="2"/>
  <c r="G80" i="2" l="1"/>
  <c r="F80" i="2"/>
  <c r="K79" i="2"/>
  <c r="J79" i="2"/>
  <c r="L79" i="2" s="1"/>
  <c r="H79" i="2"/>
  <c r="X42" i="2"/>
  <c r="E43" i="2"/>
  <c r="D43" i="2" s="1"/>
  <c r="H7" i="2"/>
  <c r="F8" i="2"/>
  <c r="K7" i="2"/>
  <c r="G8" i="2"/>
  <c r="J7" i="2"/>
  <c r="L7" i="2" s="1"/>
  <c r="Q42" i="2"/>
  <c r="I8" i="2" l="1"/>
  <c r="N7" i="2"/>
  <c r="O7" i="2" s="1"/>
  <c r="Q7" i="2"/>
  <c r="M7" i="2"/>
  <c r="P7" i="2" s="1"/>
  <c r="I80" i="2"/>
  <c r="N79" i="2"/>
  <c r="O79" i="2" s="1"/>
  <c r="M79" i="2"/>
  <c r="P79" i="2" s="1"/>
  <c r="G44" i="2"/>
  <c r="F44" i="2"/>
  <c r="K43" i="2"/>
  <c r="H43" i="2"/>
  <c r="J43" i="2"/>
  <c r="L43" i="2" s="1"/>
  <c r="E80" i="2" l="1"/>
  <c r="D80" i="2" s="1"/>
  <c r="I44" i="2"/>
  <c r="N43" i="2"/>
  <c r="O43" i="2" s="1"/>
  <c r="M43" i="2"/>
  <c r="Q43" i="2"/>
  <c r="P43" i="2"/>
  <c r="X79" i="2"/>
  <c r="X7" i="2"/>
  <c r="E8" i="2"/>
  <c r="D8" i="2" s="1"/>
  <c r="Q79" i="2"/>
  <c r="X43" i="2" l="1"/>
  <c r="F9" i="2"/>
  <c r="K8" i="2"/>
  <c r="J8" i="2"/>
  <c r="L8" i="2" s="1"/>
  <c r="H8" i="2"/>
  <c r="G9" i="2"/>
  <c r="E44" i="2"/>
  <c r="D44" i="2" s="1"/>
  <c r="H80" i="2"/>
  <c r="G81" i="2"/>
  <c r="F81" i="2"/>
  <c r="K80" i="2"/>
  <c r="J80" i="2"/>
  <c r="L80" i="2" s="1"/>
  <c r="I9" i="2" l="1"/>
  <c r="N8" i="2"/>
  <c r="O8" i="2" s="1"/>
  <c r="M8" i="2"/>
  <c r="P8" i="2"/>
  <c r="I81" i="2"/>
  <c r="N80" i="2"/>
  <c r="O80" i="2" s="1"/>
  <c r="M80" i="2"/>
  <c r="P80" i="2" s="1"/>
  <c r="H44" i="2"/>
  <c r="G45" i="2"/>
  <c r="K44" i="2"/>
  <c r="F45" i="2"/>
  <c r="J44" i="2"/>
  <c r="L44" i="2" s="1"/>
  <c r="Q80" i="2" l="1"/>
  <c r="E81" i="2"/>
  <c r="D81" i="2" s="1"/>
  <c r="X8" i="2"/>
  <c r="I45" i="2"/>
  <c r="N44" i="2"/>
  <c r="O44" i="2" s="1"/>
  <c r="M44" i="2"/>
  <c r="P44" i="2" s="1"/>
  <c r="E9" i="2"/>
  <c r="D9" i="2" s="1"/>
  <c r="X80" i="2"/>
  <c r="Q8" i="2"/>
  <c r="X44" i="2" l="1"/>
  <c r="Q44" i="2"/>
  <c r="G10" i="2"/>
  <c r="K9" i="2"/>
  <c r="J9" i="2"/>
  <c r="H9" i="2"/>
  <c r="F10" i="2"/>
  <c r="E45" i="2"/>
  <c r="D45" i="2" s="1"/>
  <c r="G82" i="2"/>
  <c r="F82" i="2"/>
  <c r="K81" i="2"/>
  <c r="J81" i="2"/>
  <c r="H81" i="2"/>
  <c r="L81" i="2" l="1"/>
  <c r="L9" i="2"/>
  <c r="I10" i="2"/>
  <c r="N9" i="2"/>
  <c r="O9" i="2" s="1"/>
  <c r="M9" i="2"/>
  <c r="Q9" i="2"/>
  <c r="P9" i="2"/>
  <c r="G46" i="2"/>
  <c r="F46" i="2"/>
  <c r="K45" i="2"/>
  <c r="J45" i="2"/>
  <c r="H45" i="2"/>
  <c r="I82" i="2"/>
  <c r="N81" i="2"/>
  <c r="O81" i="2" s="1"/>
  <c r="M81" i="2"/>
  <c r="P81" i="2" s="1"/>
  <c r="X81" i="2" l="1"/>
  <c r="M45" i="2"/>
  <c r="I46" i="2"/>
  <c r="N45" i="2"/>
  <c r="O45" i="2" s="1"/>
  <c r="P45" i="2"/>
  <c r="E82" i="2"/>
  <c r="D82" i="2" s="1"/>
  <c r="Q81" i="2"/>
  <c r="X9" i="2"/>
  <c r="L45" i="2"/>
  <c r="E10" i="2"/>
  <c r="D10" i="2" s="1"/>
  <c r="H10" i="2" l="1"/>
  <c r="G11" i="2"/>
  <c r="F11" i="2"/>
  <c r="J10" i="2"/>
  <c r="K10" i="2"/>
  <c r="X45" i="2"/>
  <c r="G83" i="2"/>
  <c r="F83" i="2"/>
  <c r="K82" i="2"/>
  <c r="J82" i="2"/>
  <c r="H82" i="2"/>
  <c r="E46" i="2"/>
  <c r="D46" i="2" s="1"/>
  <c r="Q45" i="2"/>
  <c r="L10" i="2" l="1"/>
  <c r="L82" i="2"/>
  <c r="I11" i="2"/>
  <c r="N10" i="2"/>
  <c r="O10" i="2" s="1"/>
  <c r="M10" i="2"/>
  <c r="P10" i="2" s="1"/>
  <c r="G47" i="2"/>
  <c r="J46" i="2"/>
  <c r="F47" i="2"/>
  <c r="K46" i="2"/>
  <c r="H46" i="2"/>
  <c r="I83" i="2"/>
  <c r="N82" i="2"/>
  <c r="O82" i="2" s="1"/>
  <c r="M82" i="2"/>
  <c r="P82" i="2" s="1"/>
  <c r="E11" i="2" l="1"/>
  <c r="D11" i="2" s="1"/>
  <c r="X82" i="2"/>
  <c r="E83" i="2"/>
  <c r="D83" i="2" s="1"/>
  <c r="X10" i="2"/>
  <c r="I47" i="2"/>
  <c r="M46" i="2"/>
  <c r="P46" i="2"/>
  <c r="Q10" i="2"/>
  <c r="Q82" i="2"/>
  <c r="L46" i="2"/>
  <c r="N46" i="2" s="1"/>
  <c r="O46" i="2" l="1"/>
  <c r="Q46" i="2"/>
  <c r="J83" i="2"/>
  <c r="H83" i="2"/>
  <c r="G84" i="2"/>
  <c r="F84" i="2"/>
  <c r="K83" i="2"/>
  <c r="G12" i="2"/>
  <c r="F12" i="2"/>
  <c r="K11" i="2"/>
  <c r="J11" i="2"/>
  <c r="L11" i="2" s="1"/>
  <c r="H11" i="2"/>
  <c r="E47" i="2"/>
  <c r="D47" i="2" s="1"/>
  <c r="J47" i="2" l="1"/>
  <c r="H47" i="2"/>
  <c r="K47" i="2"/>
  <c r="G48" i="2"/>
  <c r="F48" i="2"/>
  <c r="I12" i="2"/>
  <c r="P11" i="2"/>
  <c r="N11" i="2"/>
  <c r="O11" i="2" s="1"/>
  <c r="M11" i="2"/>
  <c r="I84" i="2"/>
  <c r="M83" i="2"/>
  <c r="P83" i="2" s="1"/>
  <c r="L83" i="2"/>
  <c r="N83" i="2" s="1"/>
  <c r="O83" i="2" s="1"/>
  <c r="X46" i="2"/>
  <c r="Q11" i="2" l="1"/>
  <c r="E12" i="2"/>
  <c r="D12" i="2" s="1"/>
  <c r="X83" i="2"/>
  <c r="E84" i="2"/>
  <c r="D84" i="2" s="1"/>
  <c r="Q83" i="2"/>
  <c r="M47" i="2"/>
  <c r="P47" i="2" s="1"/>
  <c r="I48" i="2"/>
  <c r="X11" i="2"/>
  <c r="L47" i="2"/>
  <c r="N47" i="2" s="1"/>
  <c r="O47" i="2" l="1"/>
  <c r="Q47" i="2"/>
  <c r="G85" i="2"/>
  <c r="F85" i="2"/>
  <c r="K84" i="2"/>
  <c r="J84" i="2"/>
  <c r="H84" i="2"/>
  <c r="E48" i="2"/>
  <c r="D48" i="2" s="1"/>
  <c r="J12" i="2"/>
  <c r="K12" i="2"/>
  <c r="H12" i="2"/>
  <c r="F13" i="2"/>
  <c r="G13" i="2"/>
  <c r="L84" i="2" l="1"/>
  <c r="M84" i="2"/>
  <c r="P84" i="2"/>
  <c r="I85" i="2"/>
  <c r="N84" i="2"/>
  <c r="O84" i="2" s="1"/>
  <c r="L12" i="2"/>
  <c r="I13" i="2"/>
  <c r="N12" i="2"/>
  <c r="O12" i="2" s="1"/>
  <c r="M12" i="2"/>
  <c r="P12" i="2" s="1"/>
  <c r="G49" i="2"/>
  <c r="F49" i="2"/>
  <c r="K48" i="2"/>
  <c r="J48" i="2"/>
  <c r="H48" i="2"/>
  <c r="X47" i="2"/>
  <c r="L48" i="2" l="1"/>
  <c r="M48" i="2"/>
  <c r="P48" i="2"/>
  <c r="I49" i="2"/>
  <c r="N48" i="2"/>
  <c r="O48" i="2" s="1"/>
  <c r="E13" i="2"/>
  <c r="D13" i="2" s="1"/>
  <c r="X84" i="2"/>
  <c r="E85" i="2"/>
  <c r="D85" i="2" s="1"/>
  <c r="Q84" i="2"/>
  <c r="X12" i="2"/>
  <c r="Q12" i="2"/>
  <c r="Q48" i="2" l="1"/>
  <c r="J13" i="2"/>
  <c r="H13" i="2"/>
  <c r="F14" i="2"/>
  <c r="G14" i="2"/>
  <c r="K13" i="2"/>
  <c r="X48" i="2"/>
  <c r="E49" i="2"/>
  <c r="D49" i="2" s="1"/>
  <c r="H85" i="2"/>
  <c r="G86" i="2"/>
  <c r="F86" i="2"/>
  <c r="K85" i="2"/>
  <c r="J85" i="2"/>
  <c r="L85" i="2" l="1"/>
  <c r="I86" i="2"/>
  <c r="N85" i="2"/>
  <c r="O85" i="2" s="1"/>
  <c r="M85" i="2"/>
  <c r="P85" i="2" s="1"/>
  <c r="Q85" i="2"/>
  <c r="M13" i="2"/>
  <c r="P13" i="2" s="1"/>
  <c r="I14" i="2"/>
  <c r="H49" i="2"/>
  <c r="F50" i="2"/>
  <c r="K49" i="2"/>
  <c r="J49" i="2"/>
  <c r="G50" i="2"/>
  <c r="L13" i="2"/>
  <c r="N13" i="2" s="1"/>
  <c r="L49" i="2" l="1"/>
  <c r="O13" i="2"/>
  <c r="Q13" i="2"/>
  <c r="X85" i="2"/>
  <c r="I50" i="2"/>
  <c r="N49" i="2"/>
  <c r="O49" i="2" s="1"/>
  <c r="M49" i="2"/>
  <c r="P49" i="2" s="1"/>
  <c r="E14" i="2"/>
  <c r="D14" i="2" s="1"/>
  <c r="E86" i="2"/>
  <c r="D86" i="2" s="1"/>
  <c r="X49" i="2" l="1"/>
  <c r="E50" i="2"/>
  <c r="D50" i="2" s="1"/>
  <c r="G15" i="2"/>
  <c r="F15" i="2"/>
  <c r="K14" i="2"/>
  <c r="H14" i="2"/>
  <c r="J14" i="2"/>
  <c r="F87" i="2"/>
  <c r="K86" i="2"/>
  <c r="J86" i="2"/>
  <c r="L86" i="2" s="1"/>
  <c r="H86" i="2"/>
  <c r="G87" i="2"/>
  <c r="Q49" i="2"/>
  <c r="X13" i="2"/>
  <c r="M14" i="2" l="1"/>
  <c r="P14" i="2"/>
  <c r="I15" i="2"/>
  <c r="I87" i="2"/>
  <c r="N86" i="2"/>
  <c r="O86" i="2" s="1"/>
  <c r="M86" i="2"/>
  <c r="P86" i="2" s="1"/>
  <c r="F51" i="2"/>
  <c r="K50" i="2"/>
  <c r="J50" i="2"/>
  <c r="H50" i="2"/>
  <c r="G51" i="2"/>
  <c r="L14" i="2"/>
  <c r="N14" i="2" s="1"/>
  <c r="O14" i="2" s="1"/>
  <c r="L50" i="2" l="1"/>
  <c r="Q86" i="2"/>
  <c r="I51" i="2"/>
  <c r="N50" i="2"/>
  <c r="O50" i="2" s="1"/>
  <c r="M50" i="2"/>
  <c r="P50" i="2" s="1"/>
  <c r="X14" i="2"/>
  <c r="Q14" i="2"/>
  <c r="E87" i="2"/>
  <c r="D87" i="2" s="1"/>
  <c r="E15" i="2"/>
  <c r="D15" i="2" s="1"/>
  <c r="X86" i="2"/>
  <c r="E51" i="2" l="1"/>
  <c r="D51" i="2" s="1"/>
  <c r="X50" i="2"/>
  <c r="H15" i="2"/>
  <c r="F16" i="2"/>
  <c r="K15" i="2"/>
  <c r="J15" i="2"/>
  <c r="G16" i="2"/>
  <c r="G88" i="2"/>
  <c r="F88" i="2"/>
  <c r="K87" i="2"/>
  <c r="J87" i="2"/>
  <c r="L87" i="2" s="1"/>
  <c r="H87" i="2"/>
  <c r="Q50" i="2"/>
  <c r="L15" i="2" l="1"/>
  <c r="I88" i="2"/>
  <c r="N87" i="2"/>
  <c r="O87" i="2" s="1"/>
  <c r="M87" i="2"/>
  <c r="Q87" i="2"/>
  <c r="P87" i="2"/>
  <c r="P15" i="2"/>
  <c r="I16" i="2"/>
  <c r="N15" i="2"/>
  <c r="O15" i="2" s="1"/>
  <c r="Q15" i="2"/>
  <c r="M15" i="2"/>
  <c r="G52" i="2"/>
  <c r="F52" i="2"/>
  <c r="K51" i="2"/>
  <c r="J51" i="2"/>
  <c r="H51" i="2"/>
  <c r="L51" i="2" l="1"/>
  <c r="E16" i="2"/>
  <c r="D16" i="2" s="1"/>
  <c r="X87" i="2"/>
  <c r="E88" i="2"/>
  <c r="D88" i="2" s="1"/>
  <c r="I52" i="2"/>
  <c r="N51" i="2"/>
  <c r="O51" i="2" s="1"/>
  <c r="M51" i="2"/>
  <c r="P51" i="2" s="1"/>
  <c r="X15" i="2"/>
  <c r="E52" i="2" l="1"/>
  <c r="D52" i="2" s="1"/>
  <c r="X51" i="2"/>
  <c r="Q51" i="2"/>
  <c r="H88" i="2"/>
  <c r="G89" i="2"/>
  <c r="F89" i="2"/>
  <c r="K88" i="2"/>
  <c r="J88" i="2"/>
  <c r="L88" i="2" s="1"/>
  <c r="F17" i="2"/>
  <c r="K16" i="2"/>
  <c r="J16" i="2"/>
  <c r="G17" i="2"/>
  <c r="H16" i="2"/>
  <c r="I89" i="2" l="1"/>
  <c r="N88" i="2"/>
  <c r="O88" i="2" s="1"/>
  <c r="M88" i="2"/>
  <c r="P88" i="2" s="1"/>
  <c r="H52" i="2"/>
  <c r="G53" i="2"/>
  <c r="F53" i="2"/>
  <c r="K52" i="2"/>
  <c r="J52" i="2"/>
  <c r="L16" i="2"/>
  <c r="I17" i="2"/>
  <c r="N16" i="2"/>
  <c r="O16" i="2" s="1"/>
  <c r="M16" i="2"/>
  <c r="P16" i="2" s="1"/>
  <c r="L52" i="2" l="1"/>
  <c r="E17" i="2"/>
  <c r="D17" i="2" s="1"/>
  <c r="Q16" i="2"/>
  <c r="X16" i="2"/>
  <c r="I53" i="2"/>
  <c r="N52" i="2"/>
  <c r="O52" i="2" s="1"/>
  <c r="M52" i="2"/>
  <c r="P52" i="2" s="1"/>
  <c r="X88" i="2"/>
  <c r="E89" i="2"/>
  <c r="D89" i="2" s="1"/>
  <c r="Q88" i="2"/>
  <c r="Q52" i="2" l="1"/>
  <c r="G90" i="2"/>
  <c r="F90" i="2"/>
  <c r="K89" i="2"/>
  <c r="J89" i="2"/>
  <c r="L89" i="2" s="1"/>
  <c r="H89" i="2"/>
  <c r="E53" i="2"/>
  <c r="D53" i="2" s="1"/>
  <c r="X52" i="2"/>
  <c r="G18" i="2"/>
  <c r="F18" i="2"/>
  <c r="K17" i="2"/>
  <c r="J17" i="2"/>
  <c r="L17" i="2" s="1"/>
  <c r="H17" i="2"/>
  <c r="I18" i="2" l="1"/>
  <c r="N17" i="2"/>
  <c r="O17" i="2" s="1"/>
  <c r="M17" i="2"/>
  <c r="Q17" i="2"/>
  <c r="P17" i="2"/>
  <c r="Q89" i="2"/>
  <c r="P89" i="2"/>
  <c r="I90" i="2"/>
  <c r="N89" i="2"/>
  <c r="O89" i="2" s="1"/>
  <c r="M89" i="2"/>
  <c r="G54" i="2"/>
  <c r="F54" i="2"/>
  <c r="K53" i="2"/>
  <c r="J53" i="2"/>
  <c r="H53" i="2"/>
  <c r="L53" i="2" l="1"/>
  <c r="N53" i="2" s="1"/>
  <c r="O53" i="2" s="1"/>
  <c r="I54" i="2"/>
  <c r="M53" i="2"/>
  <c r="P53" i="2" s="1"/>
  <c r="E90" i="2"/>
  <c r="D90" i="2" s="1"/>
  <c r="X17" i="2"/>
  <c r="X89" i="2"/>
  <c r="E18" i="2"/>
  <c r="D18" i="2" s="1"/>
  <c r="G91" i="2" l="1"/>
  <c r="F91" i="2"/>
  <c r="K90" i="2"/>
  <c r="J90" i="2"/>
  <c r="L90" i="2" s="1"/>
  <c r="H90" i="2"/>
  <c r="E54" i="2"/>
  <c r="D54" i="2" s="1"/>
  <c r="H18" i="2"/>
  <c r="G19" i="2"/>
  <c r="J18" i="2"/>
  <c r="F19" i="2"/>
  <c r="K18" i="2"/>
  <c r="X53" i="2"/>
  <c r="Q53" i="2"/>
  <c r="G55" i="2" l="1"/>
  <c r="J54" i="2"/>
  <c r="H54" i="2"/>
  <c r="F55" i="2"/>
  <c r="K54" i="2"/>
  <c r="I91" i="2"/>
  <c r="N90" i="2"/>
  <c r="O90" i="2" s="1"/>
  <c r="M90" i="2"/>
  <c r="P90" i="2" s="1"/>
  <c r="L18" i="2"/>
  <c r="M18" i="2"/>
  <c r="P18" i="2" s="1"/>
  <c r="N18" i="2"/>
  <c r="O18" i="2" s="1"/>
  <c r="I19" i="2"/>
  <c r="X18" i="2" l="1"/>
  <c r="X90" i="2"/>
  <c r="Q18" i="2"/>
  <c r="I55" i="2"/>
  <c r="M54" i="2"/>
  <c r="P54" i="2" s="1"/>
  <c r="L54" i="2"/>
  <c r="N54" i="2" s="1"/>
  <c r="E91" i="2"/>
  <c r="D91" i="2" s="1"/>
  <c r="Q90" i="2"/>
  <c r="E19" i="2"/>
  <c r="D19" i="2" s="1"/>
  <c r="O54" i="2" l="1"/>
  <c r="Q54" i="2"/>
  <c r="G20" i="2"/>
  <c r="F20" i="2"/>
  <c r="K19" i="2"/>
  <c r="J19" i="2"/>
  <c r="L19" i="2" s="1"/>
  <c r="H19" i="2"/>
  <c r="X54" i="2"/>
  <c r="E55" i="2"/>
  <c r="D55" i="2" s="1"/>
  <c r="J91" i="2"/>
  <c r="H91" i="2"/>
  <c r="G92" i="2"/>
  <c r="F92" i="2"/>
  <c r="K91" i="2"/>
  <c r="N19" i="2" l="1"/>
  <c r="O19" i="2" s="1"/>
  <c r="M19" i="2"/>
  <c r="P19" i="2" s="1"/>
  <c r="I20" i="2"/>
  <c r="Q19" i="2"/>
  <c r="L91" i="2"/>
  <c r="N91" i="2" s="1"/>
  <c r="I92" i="2"/>
  <c r="M91" i="2"/>
  <c r="P91" i="2" s="1"/>
  <c r="J55" i="2"/>
  <c r="H55" i="2"/>
  <c r="G56" i="2"/>
  <c r="F56" i="2"/>
  <c r="K55" i="2"/>
  <c r="L55" i="2" l="1"/>
  <c r="O91" i="2"/>
  <c r="Q91" i="2"/>
  <c r="M55" i="2"/>
  <c r="P55" i="2" s="1"/>
  <c r="I56" i="2"/>
  <c r="N55" i="2"/>
  <c r="O55" i="2" s="1"/>
  <c r="E20" i="2"/>
  <c r="D20" i="2" s="1"/>
  <c r="X19" i="2"/>
  <c r="E92" i="2"/>
  <c r="D92" i="2" s="1"/>
  <c r="G21" i="2" l="1"/>
  <c r="J20" i="2"/>
  <c r="F21" i="2"/>
  <c r="H20" i="2"/>
  <c r="K20" i="2"/>
  <c r="X55" i="2"/>
  <c r="E56" i="2"/>
  <c r="D56" i="2" s="1"/>
  <c r="G93" i="2"/>
  <c r="F93" i="2"/>
  <c r="K92" i="2"/>
  <c r="J92" i="2"/>
  <c r="L92" i="2" s="1"/>
  <c r="H92" i="2"/>
  <c r="Q55" i="2"/>
  <c r="X91" i="2"/>
  <c r="L20" i="2" l="1"/>
  <c r="M92" i="2"/>
  <c r="P92" i="2"/>
  <c r="I93" i="2"/>
  <c r="N92" i="2"/>
  <c r="O92" i="2" s="1"/>
  <c r="I21" i="2"/>
  <c r="N20" i="2"/>
  <c r="O20" i="2" s="1"/>
  <c r="M20" i="2"/>
  <c r="P20" i="2" s="1"/>
  <c r="G57" i="2"/>
  <c r="F57" i="2"/>
  <c r="K56" i="2"/>
  <c r="J56" i="2"/>
  <c r="H56" i="2"/>
  <c r="L56" i="2" l="1"/>
  <c r="X20" i="2"/>
  <c r="X92" i="2"/>
  <c r="M56" i="2"/>
  <c r="P56" i="2" s="1"/>
  <c r="I57" i="2"/>
  <c r="N56" i="2"/>
  <c r="O56" i="2" s="1"/>
  <c r="E93" i="2"/>
  <c r="D93" i="2" s="1"/>
  <c r="E21" i="2"/>
  <c r="D21" i="2" s="1"/>
  <c r="Q92" i="2"/>
  <c r="Q20" i="2"/>
  <c r="Q56" i="2" l="1"/>
  <c r="E57" i="2"/>
  <c r="D57" i="2" s="1"/>
  <c r="G22" i="2"/>
  <c r="F22" i="2"/>
  <c r="K21" i="2"/>
  <c r="J21" i="2"/>
  <c r="L21" i="2" s="1"/>
  <c r="H21" i="2"/>
  <c r="H93" i="2"/>
  <c r="G94" i="2"/>
  <c r="F94" i="2"/>
  <c r="K93" i="2"/>
  <c r="J93" i="2"/>
  <c r="X56" i="2"/>
  <c r="N21" i="2" l="1"/>
  <c r="O21" i="2" s="1"/>
  <c r="M21" i="2"/>
  <c r="P21" i="2"/>
  <c r="I22" i="2"/>
  <c r="L93" i="2"/>
  <c r="N93" i="2" s="1"/>
  <c r="I94" i="2"/>
  <c r="M93" i="2"/>
  <c r="P93" i="2" s="1"/>
  <c r="H57" i="2"/>
  <c r="F58" i="2"/>
  <c r="K57" i="2"/>
  <c r="G58" i="2"/>
  <c r="J57" i="2"/>
  <c r="O93" i="2" l="1"/>
  <c r="Q93" i="2"/>
  <c r="E94" i="2"/>
  <c r="D94" i="2" s="1"/>
  <c r="E22" i="2"/>
  <c r="D22" i="2" s="1"/>
  <c r="I58" i="2"/>
  <c r="M57" i="2"/>
  <c r="P57" i="2" s="1"/>
  <c r="X21" i="2"/>
  <c r="L57" i="2"/>
  <c r="N57" i="2" s="1"/>
  <c r="Q21" i="2"/>
  <c r="O57" i="2" l="1"/>
  <c r="Q57" i="2"/>
  <c r="E58" i="2"/>
  <c r="D58" i="2" s="1"/>
  <c r="G23" i="2"/>
  <c r="J22" i="2"/>
  <c r="F23" i="2"/>
  <c r="K22" i="2"/>
  <c r="H22" i="2"/>
  <c r="F95" i="2"/>
  <c r="K94" i="2"/>
  <c r="J94" i="2"/>
  <c r="L94" i="2" s="1"/>
  <c r="H94" i="2"/>
  <c r="G95" i="2"/>
  <c r="X93" i="2"/>
  <c r="I95" i="2" l="1"/>
  <c r="N94" i="2"/>
  <c r="O94" i="2" s="1"/>
  <c r="M94" i="2"/>
  <c r="P94" i="2" s="1"/>
  <c r="L22" i="2"/>
  <c r="N22" i="2" s="1"/>
  <c r="O22" i="2" s="1"/>
  <c r="F59" i="2"/>
  <c r="K58" i="2"/>
  <c r="J58" i="2"/>
  <c r="H58" i="2"/>
  <c r="G59" i="2"/>
  <c r="I23" i="2"/>
  <c r="M22" i="2"/>
  <c r="P22" i="2"/>
  <c r="X57" i="2"/>
  <c r="X94" i="2" l="1"/>
  <c r="I59" i="2"/>
  <c r="M58" i="2"/>
  <c r="P58" i="2" s="1"/>
  <c r="X22" i="2"/>
  <c r="E23" i="2"/>
  <c r="D23" i="2" s="1"/>
  <c r="E95" i="2"/>
  <c r="D95" i="2" s="1"/>
  <c r="Q22" i="2"/>
  <c r="L58" i="2"/>
  <c r="N58" i="2" s="1"/>
  <c r="Q94" i="2"/>
  <c r="O58" i="2" l="1"/>
  <c r="Q58" i="2"/>
  <c r="G96" i="2"/>
  <c r="F96" i="2"/>
  <c r="K95" i="2"/>
  <c r="J95" i="2"/>
  <c r="H95" i="2"/>
  <c r="J23" i="2"/>
  <c r="H23" i="2"/>
  <c r="F24" i="2"/>
  <c r="K23" i="2"/>
  <c r="G24" i="2"/>
  <c r="E59" i="2"/>
  <c r="D59" i="2" s="1"/>
  <c r="G60" i="2" l="1"/>
  <c r="F60" i="2"/>
  <c r="K59" i="2"/>
  <c r="J59" i="2"/>
  <c r="H59" i="2"/>
  <c r="I96" i="2"/>
  <c r="N95" i="2"/>
  <c r="O95" i="2" s="1"/>
  <c r="M95" i="2"/>
  <c r="P95" i="2" s="1"/>
  <c r="L95" i="2"/>
  <c r="M23" i="2"/>
  <c r="P23" i="2" s="1"/>
  <c r="I24" i="2"/>
  <c r="L23" i="2"/>
  <c r="N23" i="2" s="1"/>
  <c r="X58" i="2"/>
  <c r="L59" i="2" l="1"/>
  <c r="O23" i="2"/>
  <c r="Q23" i="2"/>
  <c r="E24" i="2"/>
  <c r="D24" i="2" s="1"/>
  <c r="I60" i="2"/>
  <c r="N59" i="2"/>
  <c r="O59" i="2" s="1"/>
  <c r="M59" i="2"/>
  <c r="P59" i="2" s="1"/>
  <c r="Q59" i="2"/>
  <c r="X95" i="2"/>
  <c r="E96" i="2"/>
  <c r="D96" i="2" s="1"/>
  <c r="Q95" i="2"/>
  <c r="X59" i="2" l="1"/>
  <c r="H96" i="2"/>
  <c r="G97" i="2"/>
  <c r="F97" i="2"/>
  <c r="K96" i="2"/>
  <c r="J96" i="2"/>
  <c r="E60" i="2"/>
  <c r="D60" i="2" s="1"/>
  <c r="G25" i="2"/>
  <c r="F25" i="2"/>
  <c r="K24" i="2"/>
  <c r="J24" i="2"/>
  <c r="L24" i="2" s="1"/>
  <c r="H24" i="2"/>
  <c r="X23" i="2"/>
  <c r="M24" i="2" l="1"/>
  <c r="P24" i="2"/>
  <c r="N24" i="2"/>
  <c r="O24" i="2" s="1"/>
  <c r="I25" i="2"/>
  <c r="L96" i="2"/>
  <c r="N96" i="2" s="1"/>
  <c r="I97" i="2"/>
  <c r="M96" i="2"/>
  <c r="P96" i="2" s="1"/>
  <c r="H60" i="2"/>
  <c r="G61" i="2"/>
  <c r="F61" i="2"/>
  <c r="K60" i="2"/>
  <c r="J60" i="2"/>
  <c r="O96" i="2" l="1"/>
  <c r="Q96" i="2"/>
  <c r="E25" i="2"/>
  <c r="D25" i="2" s="1"/>
  <c r="I61" i="2"/>
  <c r="M60" i="2"/>
  <c r="P60" i="2" s="1"/>
  <c r="X24" i="2"/>
  <c r="Q24" i="2"/>
  <c r="L60" i="2"/>
  <c r="N60" i="2" s="1"/>
  <c r="O60" i="2" s="1"/>
  <c r="E97" i="2"/>
  <c r="D97" i="2" s="1"/>
  <c r="X60" i="2" l="1"/>
  <c r="E61" i="2"/>
  <c r="D61" i="2" s="1"/>
  <c r="Q60" i="2"/>
  <c r="G98" i="2"/>
  <c r="F98" i="2"/>
  <c r="K97" i="2"/>
  <c r="J97" i="2"/>
  <c r="H97" i="2"/>
  <c r="H25" i="2"/>
  <c r="F26" i="2"/>
  <c r="K25" i="2"/>
  <c r="J25" i="2"/>
  <c r="L25" i="2" s="1"/>
  <c r="G26" i="2"/>
  <c r="X96" i="2"/>
  <c r="I26" i="2" l="1"/>
  <c r="N25" i="2"/>
  <c r="O25" i="2" s="1"/>
  <c r="M25" i="2"/>
  <c r="P25" i="2" s="1"/>
  <c r="Q25" i="2"/>
  <c r="G62" i="2"/>
  <c r="F62" i="2"/>
  <c r="K61" i="2"/>
  <c r="J61" i="2"/>
  <c r="H61" i="2"/>
  <c r="I98" i="2"/>
  <c r="M97" i="2"/>
  <c r="P97" i="2" s="1"/>
  <c r="L97" i="2"/>
  <c r="N97" i="2" s="1"/>
  <c r="O97" i="2" s="1"/>
  <c r="X97" i="2" l="1"/>
  <c r="Q97" i="2"/>
  <c r="E26" i="2"/>
  <c r="D26" i="2" s="1"/>
  <c r="E98" i="2"/>
  <c r="D98" i="2" s="1"/>
  <c r="I62" i="2"/>
  <c r="M61" i="2"/>
  <c r="P61" i="2" s="1"/>
  <c r="X25" i="2"/>
  <c r="L61" i="2"/>
  <c r="N61" i="2" s="1"/>
  <c r="O61" i="2" l="1"/>
  <c r="Q61" i="2"/>
  <c r="G99" i="2"/>
  <c r="F99" i="2"/>
  <c r="K98" i="2"/>
  <c r="J98" i="2"/>
  <c r="H98" i="2"/>
  <c r="F27" i="2"/>
  <c r="K26" i="2"/>
  <c r="J26" i="2"/>
  <c r="L26" i="2" s="1"/>
  <c r="H26" i="2"/>
  <c r="G27" i="2"/>
  <c r="E62" i="2"/>
  <c r="D62" i="2" s="1"/>
  <c r="L98" i="2" l="1"/>
  <c r="I99" i="2"/>
  <c r="N98" i="2"/>
  <c r="O98" i="2" s="1"/>
  <c r="M98" i="2"/>
  <c r="Q98" i="2"/>
  <c r="P98" i="2"/>
  <c r="G63" i="2"/>
  <c r="J62" i="2"/>
  <c r="K62" i="2"/>
  <c r="H62" i="2"/>
  <c r="F63" i="2"/>
  <c r="I27" i="2"/>
  <c r="N26" i="2"/>
  <c r="O26" i="2" s="1"/>
  <c r="M26" i="2"/>
  <c r="P26" i="2" s="1"/>
  <c r="X61" i="2"/>
  <c r="L62" i="2" l="1"/>
  <c r="Q26" i="2"/>
  <c r="E27" i="2"/>
  <c r="D27" i="2" s="1"/>
  <c r="I63" i="2"/>
  <c r="N62" i="2"/>
  <c r="O62" i="2" s="1"/>
  <c r="M62" i="2"/>
  <c r="Q62" i="2"/>
  <c r="P62" i="2"/>
  <c r="X98" i="2"/>
  <c r="X26" i="2"/>
  <c r="E99" i="2"/>
  <c r="D99" i="2" s="1"/>
  <c r="X62" i="2" l="1"/>
  <c r="J99" i="2"/>
  <c r="H99" i="2"/>
  <c r="G100" i="2"/>
  <c r="F100" i="2"/>
  <c r="K99" i="2"/>
  <c r="E63" i="2"/>
  <c r="D63" i="2" s="1"/>
  <c r="G28" i="2"/>
  <c r="F28" i="2"/>
  <c r="K27" i="2"/>
  <c r="J27" i="2"/>
  <c r="L27" i="2" s="1"/>
  <c r="H27" i="2"/>
  <c r="I28" i="2" l="1"/>
  <c r="N27" i="2"/>
  <c r="O27" i="2" s="1"/>
  <c r="M27" i="2"/>
  <c r="Q27" i="2"/>
  <c r="P27" i="2"/>
  <c r="L99" i="2"/>
  <c r="N99" i="2" s="1"/>
  <c r="P99" i="2"/>
  <c r="I100" i="2"/>
  <c r="M99" i="2"/>
  <c r="F64" i="2"/>
  <c r="J63" i="2"/>
  <c r="H63" i="2"/>
  <c r="G64" i="2"/>
  <c r="K63" i="2"/>
  <c r="L63" i="2" l="1"/>
  <c r="O99" i="2"/>
  <c r="Q99" i="2"/>
  <c r="I64" i="2"/>
  <c r="M63" i="2"/>
  <c r="P63" i="2" s="1"/>
  <c r="N63" i="2"/>
  <c r="O63" i="2" s="1"/>
  <c r="X27" i="2"/>
  <c r="E100" i="2"/>
  <c r="D100" i="2" s="1"/>
  <c r="E28" i="2"/>
  <c r="D28" i="2" s="1"/>
  <c r="X63" i="2" l="1"/>
  <c r="H28" i="2"/>
  <c r="G29" i="2"/>
  <c r="J28" i="2"/>
  <c r="F29" i="2"/>
  <c r="K28" i="2"/>
  <c r="Q63" i="2"/>
  <c r="E64" i="2"/>
  <c r="D64" i="2" s="1"/>
  <c r="G101" i="2"/>
  <c r="F101" i="2"/>
  <c r="K100" i="2"/>
  <c r="J100" i="2"/>
  <c r="L100" i="2" s="1"/>
  <c r="H100" i="2"/>
  <c r="X99" i="2"/>
  <c r="L28" i="2" l="1"/>
  <c r="I29" i="2"/>
  <c r="N28" i="2"/>
  <c r="O28" i="2" s="1"/>
  <c r="M28" i="2"/>
  <c r="P28" i="2" s="1"/>
  <c r="G65" i="2"/>
  <c r="F65" i="2"/>
  <c r="K64" i="2"/>
  <c r="J64" i="2"/>
  <c r="H64" i="2"/>
  <c r="M100" i="2"/>
  <c r="P100" i="2"/>
  <c r="I101" i="2"/>
  <c r="N100" i="2"/>
  <c r="O100" i="2" s="1"/>
  <c r="Q100" i="2" l="1"/>
  <c r="L64" i="2"/>
  <c r="E101" i="2"/>
  <c r="D101" i="2" s="1"/>
  <c r="E29" i="2"/>
  <c r="D29" i="2" s="1"/>
  <c r="Q28" i="2"/>
  <c r="X28" i="2"/>
  <c r="I65" i="2"/>
  <c r="N64" i="2"/>
  <c r="O64" i="2" s="1"/>
  <c r="M64" i="2"/>
  <c r="P64" i="2" s="1"/>
  <c r="X100" i="2"/>
  <c r="Q64" i="2" l="1"/>
  <c r="E65" i="2"/>
  <c r="D65" i="2" s="1"/>
  <c r="G30" i="2"/>
  <c r="F30" i="2"/>
  <c r="K29" i="2"/>
  <c r="J29" i="2"/>
  <c r="L29" i="2" s="1"/>
  <c r="H29" i="2"/>
  <c r="X64" i="2"/>
  <c r="H101" i="2"/>
  <c r="G102" i="2"/>
  <c r="F102" i="2"/>
  <c r="K101" i="2"/>
  <c r="J101" i="2"/>
  <c r="L101" i="2" s="1"/>
  <c r="I30" i="2" l="1"/>
  <c r="N29" i="2"/>
  <c r="O29" i="2" s="1"/>
  <c r="M29" i="2"/>
  <c r="P29" i="2" s="1"/>
  <c r="I102" i="2"/>
  <c r="N101" i="2"/>
  <c r="O101" i="2" s="1"/>
  <c r="M101" i="2"/>
  <c r="P101" i="2" s="1"/>
  <c r="J65" i="2"/>
  <c r="H65" i="2"/>
  <c r="F66" i="2"/>
  <c r="K65" i="2"/>
  <c r="G66" i="2"/>
  <c r="X101" i="2" l="1"/>
  <c r="I66" i="2"/>
  <c r="M65" i="2"/>
  <c r="P65" i="2" s="1"/>
  <c r="L65" i="2"/>
  <c r="N65" i="2" s="1"/>
  <c r="Q101" i="2"/>
  <c r="E102" i="2"/>
  <c r="D102" i="2" s="1"/>
  <c r="X29" i="2"/>
  <c r="E30" i="2"/>
  <c r="D30" i="2" s="1"/>
  <c r="Q29" i="2"/>
  <c r="O65" i="2" l="1"/>
  <c r="Q65" i="2"/>
  <c r="E66" i="2"/>
  <c r="D66" i="2" s="1"/>
  <c r="G31" i="2"/>
  <c r="J30" i="2"/>
  <c r="K30" i="2"/>
  <c r="H30" i="2"/>
  <c r="F31" i="2"/>
  <c r="F103" i="2"/>
  <c r="K102" i="2"/>
  <c r="J102" i="2"/>
  <c r="H102" i="2"/>
  <c r="G103" i="2"/>
  <c r="I103" i="2" l="1"/>
  <c r="M102" i="2"/>
  <c r="P102" i="2" s="1"/>
  <c r="L102" i="2"/>
  <c r="N102" i="2" s="1"/>
  <c r="G67" i="2"/>
  <c r="F67" i="2"/>
  <c r="K66" i="2"/>
  <c r="J66" i="2"/>
  <c r="H66" i="2"/>
  <c r="I31" i="2"/>
  <c r="M30" i="2"/>
  <c r="P30" i="2" s="1"/>
  <c r="L30" i="2"/>
  <c r="N30" i="2" s="1"/>
  <c r="X65" i="2"/>
  <c r="L66" i="2" l="1"/>
  <c r="O30" i="2"/>
  <c r="Q30" i="2"/>
  <c r="O102" i="2"/>
  <c r="Q102" i="2"/>
  <c r="E103" i="2"/>
  <c r="D103" i="2" s="1"/>
  <c r="E31" i="2"/>
  <c r="D31" i="2" s="1"/>
  <c r="M66" i="2"/>
  <c r="P66" i="2" s="1"/>
  <c r="I67" i="2"/>
  <c r="N66" i="2"/>
  <c r="O66" i="2" s="1"/>
  <c r="X30" i="2"/>
  <c r="Q66" i="2" l="1"/>
  <c r="X66" i="2"/>
  <c r="G104" i="2"/>
  <c r="F104" i="2"/>
  <c r="K103" i="2"/>
  <c r="J103" i="2"/>
  <c r="L103" i="2" s="1"/>
  <c r="H103" i="2"/>
  <c r="J31" i="2"/>
  <c r="H31" i="2"/>
  <c r="G32" i="2"/>
  <c r="F32" i="2"/>
  <c r="K31" i="2"/>
  <c r="E67" i="2"/>
  <c r="D67" i="2" s="1"/>
  <c r="X102" i="2"/>
  <c r="H67" i="2" l="1"/>
  <c r="G68" i="2"/>
  <c r="F68" i="2"/>
  <c r="K67" i="2"/>
  <c r="J67" i="2"/>
  <c r="M31" i="2"/>
  <c r="P31" i="2" s="1"/>
  <c r="I32" i="2"/>
  <c r="I104" i="2"/>
  <c r="N103" i="2"/>
  <c r="O103" i="2" s="1"/>
  <c r="M103" i="2"/>
  <c r="Q103" i="2"/>
  <c r="P103" i="2"/>
  <c r="L31" i="2"/>
  <c r="N31" i="2" s="1"/>
  <c r="L67" i="2" l="1"/>
  <c r="O31" i="2"/>
  <c r="Q31" i="2"/>
  <c r="X103" i="2"/>
  <c r="E104" i="2"/>
  <c r="D104" i="2" s="1"/>
  <c r="E32" i="2"/>
  <c r="D32" i="2" s="1"/>
  <c r="X31" i="2"/>
  <c r="I68" i="2"/>
  <c r="N67" i="2"/>
  <c r="O67" i="2" s="1"/>
  <c r="M67" i="2"/>
  <c r="P67" i="2" s="1"/>
  <c r="Q67" i="2" l="1"/>
  <c r="G33" i="2"/>
  <c r="F33" i="2"/>
  <c r="K32" i="2"/>
  <c r="J32" i="2"/>
  <c r="L32" i="2" s="1"/>
  <c r="H32" i="2"/>
  <c r="X67" i="2"/>
  <c r="H104" i="2"/>
  <c r="G105" i="2"/>
  <c r="F105" i="2"/>
  <c r="K104" i="2"/>
  <c r="J104" i="2"/>
  <c r="L104" i="2" s="1"/>
  <c r="E68" i="2"/>
  <c r="D68" i="2" s="1"/>
  <c r="M32" i="2" l="1"/>
  <c r="P32" i="2"/>
  <c r="N32" i="2"/>
  <c r="O32" i="2" s="1"/>
  <c r="I33" i="2"/>
  <c r="Q32" i="2"/>
  <c r="F69" i="2"/>
  <c r="K68" i="2"/>
  <c r="J68" i="2"/>
  <c r="H68" i="2"/>
  <c r="G69" i="2"/>
  <c r="I105" i="2"/>
  <c r="N104" i="2"/>
  <c r="O104" i="2" s="1"/>
  <c r="M104" i="2"/>
  <c r="P104" i="2" s="1"/>
  <c r="X104" i="2" l="1"/>
  <c r="E105" i="2"/>
  <c r="D105" i="2" s="1"/>
  <c r="E33" i="2"/>
  <c r="D33" i="2" s="1"/>
  <c r="X32" i="2"/>
  <c r="L68" i="2"/>
  <c r="Q104" i="2"/>
  <c r="I69" i="2"/>
  <c r="N68" i="2"/>
  <c r="O68" i="2" s="1"/>
  <c r="M68" i="2"/>
  <c r="P68" i="2" s="1"/>
  <c r="X68" i="2" l="1"/>
  <c r="E69" i="2"/>
  <c r="D69" i="2" s="1"/>
  <c r="H33" i="2"/>
  <c r="F34" i="2"/>
  <c r="K33" i="2"/>
  <c r="G34" i="2"/>
  <c r="J33" i="2"/>
  <c r="G106" i="2"/>
  <c r="F106" i="2"/>
  <c r="K105" i="2"/>
  <c r="J105" i="2"/>
  <c r="L105" i="2" s="1"/>
  <c r="H105" i="2"/>
  <c r="Q68" i="2"/>
  <c r="I106" i="2" l="1"/>
  <c r="N105" i="2"/>
  <c r="O105" i="2" s="1"/>
  <c r="M105" i="2"/>
  <c r="P105" i="2" s="1"/>
  <c r="I34" i="2"/>
  <c r="N33" i="2"/>
  <c r="O33" i="2" s="1"/>
  <c r="M33" i="2"/>
  <c r="P33" i="2" s="1"/>
  <c r="G70" i="2"/>
  <c r="F70" i="2"/>
  <c r="K69" i="2"/>
  <c r="J69" i="2"/>
  <c r="H69" i="2"/>
  <c r="L33" i="2"/>
  <c r="L69" i="2" l="1"/>
  <c r="I70" i="2"/>
  <c r="N69" i="2"/>
  <c r="O69" i="2" s="1"/>
  <c r="M69" i="2"/>
  <c r="Q69" i="2"/>
  <c r="P69" i="2"/>
  <c r="E34" i="2"/>
  <c r="D34" i="2" s="1"/>
  <c r="X33" i="2"/>
  <c r="X105" i="2"/>
  <c r="E106" i="2"/>
  <c r="D106" i="2" s="1"/>
  <c r="Q33" i="2"/>
  <c r="Q105" i="2"/>
  <c r="F35" i="2" l="1"/>
  <c r="K34" i="2"/>
  <c r="J34" i="2"/>
  <c r="L34" i="2" s="1"/>
  <c r="H34" i="2"/>
  <c r="G35" i="2"/>
  <c r="G107" i="2"/>
  <c r="F107" i="2"/>
  <c r="K106" i="2"/>
  <c r="J106" i="2"/>
  <c r="H106" i="2"/>
  <c r="X69" i="2"/>
  <c r="E70" i="2"/>
  <c r="D70" i="2" s="1"/>
  <c r="L106" i="2" l="1"/>
  <c r="H70" i="2"/>
  <c r="G71" i="2"/>
  <c r="J70" i="2"/>
  <c r="K70" i="2"/>
  <c r="F71" i="2"/>
  <c r="Q34" i="2"/>
  <c r="P34" i="2"/>
  <c r="I35" i="2"/>
  <c r="N34" i="2"/>
  <c r="O34" i="2" s="1"/>
  <c r="M34" i="2"/>
  <c r="I107" i="2"/>
  <c r="N106" i="2"/>
  <c r="O106" i="2" s="1"/>
  <c r="M106" i="2"/>
  <c r="Q106" i="2"/>
  <c r="P106" i="2"/>
  <c r="E107" i="2" l="1"/>
  <c r="D107" i="2" s="1"/>
  <c r="X106" i="2"/>
  <c r="L70" i="2"/>
  <c r="N70" i="2" s="1"/>
  <c r="X34" i="2"/>
  <c r="I71" i="2"/>
  <c r="M70" i="2"/>
  <c r="P70" i="2" s="1"/>
  <c r="E35" i="2"/>
  <c r="D35" i="2" s="1"/>
  <c r="O70" i="2" l="1"/>
  <c r="Q70" i="2"/>
  <c r="G36" i="2"/>
  <c r="F36" i="2"/>
  <c r="K35" i="2"/>
  <c r="H35" i="2"/>
  <c r="J35" i="2"/>
  <c r="L35" i="2" s="1"/>
  <c r="E71" i="2"/>
  <c r="D71" i="2" s="1"/>
  <c r="J107" i="2"/>
  <c r="H107" i="2"/>
  <c r="G108" i="2"/>
  <c r="F108" i="2"/>
  <c r="K107" i="2"/>
  <c r="I36" i="2" l="1"/>
  <c r="N35" i="2"/>
  <c r="O35" i="2" s="1"/>
  <c r="M35" i="2"/>
  <c r="Q35" i="2"/>
  <c r="P35" i="2"/>
  <c r="I108" i="2"/>
  <c r="M107" i="2"/>
  <c r="P107" i="2" s="1"/>
  <c r="L107" i="2"/>
  <c r="N107" i="2" s="1"/>
  <c r="G72" i="2"/>
  <c r="F72" i="2"/>
  <c r="K71" i="2"/>
  <c r="J71" i="2"/>
  <c r="H71" i="2"/>
  <c r="X70" i="2"/>
  <c r="O107" i="2" l="1"/>
  <c r="Q107" i="2"/>
  <c r="E108" i="2"/>
  <c r="D108" i="2" s="1"/>
  <c r="X35" i="2"/>
  <c r="L71" i="2"/>
  <c r="N71" i="2" s="1"/>
  <c r="I72" i="2"/>
  <c r="M71" i="2"/>
  <c r="P71" i="2" s="1"/>
  <c r="E36" i="2"/>
  <c r="D36" i="2" s="1"/>
  <c r="O71" i="2" l="1"/>
  <c r="Q71" i="2"/>
  <c r="G109" i="2"/>
  <c r="F109" i="2"/>
  <c r="K108" i="2"/>
  <c r="J108" i="2"/>
  <c r="L108" i="2" s="1"/>
  <c r="H108" i="2"/>
  <c r="H36" i="2"/>
  <c r="G37" i="2"/>
  <c r="F37" i="2"/>
  <c r="K36" i="2"/>
  <c r="J36" i="2"/>
  <c r="L36" i="2" s="1"/>
  <c r="E72" i="2"/>
  <c r="D72" i="2" s="1"/>
  <c r="X107" i="2"/>
  <c r="G73" i="2" l="1"/>
  <c r="F73" i="2"/>
  <c r="K72" i="2"/>
  <c r="J72" i="2"/>
  <c r="H72" i="2"/>
  <c r="M108" i="2"/>
  <c r="P108" i="2" s="1"/>
  <c r="Q108" i="2"/>
  <c r="I109" i="2"/>
  <c r="N108" i="2"/>
  <c r="O108" i="2" s="1"/>
  <c r="I37" i="2"/>
  <c r="N36" i="2"/>
  <c r="O36" i="2" s="1"/>
  <c r="M36" i="2"/>
  <c r="P36" i="2" s="1"/>
  <c r="X71" i="2"/>
  <c r="L72" i="2" l="1"/>
  <c r="X36" i="2"/>
  <c r="I73" i="2"/>
  <c r="N72" i="2"/>
  <c r="O72" i="2" s="1"/>
  <c r="M72" i="2"/>
  <c r="Q72" i="2"/>
  <c r="P72" i="2"/>
  <c r="Q36" i="2"/>
  <c r="X108" i="2"/>
  <c r="E37" i="2"/>
  <c r="D37" i="2" s="1"/>
  <c r="E109" i="2"/>
  <c r="D109" i="2" s="1"/>
  <c r="K37" i="2" l="1"/>
  <c r="J37" i="2"/>
  <c r="L37" i="2" s="1"/>
  <c r="H37" i="2"/>
  <c r="H109" i="2"/>
  <c r="K109" i="2"/>
  <c r="J109" i="2"/>
  <c r="X72" i="2"/>
  <c r="E73" i="2"/>
  <c r="D73" i="2" s="1"/>
  <c r="L109" i="2" l="1"/>
  <c r="N109" i="2"/>
  <c r="O109" i="2" s="1"/>
  <c r="X109" i="2" s="1"/>
  <c r="M109" i="2"/>
  <c r="P109" i="2" s="1"/>
  <c r="Q109" i="2"/>
  <c r="M37" i="2"/>
  <c r="P37" i="2" s="1"/>
  <c r="N37" i="2"/>
  <c r="O37" i="2" s="1"/>
  <c r="X37" i="2" s="1"/>
  <c r="J73" i="2"/>
  <c r="H73" i="2"/>
  <c r="K73" i="2"/>
  <c r="Q37" i="2" l="1"/>
  <c r="M73" i="2"/>
  <c r="P73" i="2" s="1"/>
  <c r="L73" i="2"/>
  <c r="N73" i="2" s="1"/>
  <c r="O73" i="2" l="1"/>
  <c r="X73" i="2" s="1"/>
  <c r="Q73" i="2"/>
</calcChain>
</file>

<file path=xl/sharedStrings.xml><?xml version="1.0" encoding="utf-8"?>
<sst xmlns="http://schemas.openxmlformats.org/spreadsheetml/2006/main" count="333" uniqueCount="151">
  <si>
    <t>SaaS ROI Model  ·  B2C AI Image Generation  ·  US Market  ·  v3</t>
  </si>
  <si>
    <t>Parameter</t>
  </si>
  <si>
    <t>Pessimistic</t>
  </si>
  <si>
    <t>Base Case</t>
  </si>
  <si>
    <t>Optimistic</t>
  </si>
  <si>
    <t>Notes / Market Benchmark</t>
  </si>
  <si>
    <t>── ONE-TIME COSTS</t>
  </si>
  <si>
    <t>Setup / Launch Cost ($)</t>
  </si>
  <si>
    <t>Pre-build micro-team. Figma, domain, infra setup</t>
  </si>
  <si>
    <t>── MONTHLY FIXED COSTS (step-up by users — see Fixed_Cost_USD formula)</t>
  </si>
  <si>
    <t>Fixed Cost: 0–100 users ($/mo)</t>
  </si>
  <si>
    <t>Solo founder + basic infra</t>
  </si>
  <si>
    <t>Fixed Cost: 101–500 users ($/mo)</t>
  </si>
  <si>
    <t>Part-time hire or upgraded infra</t>
  </si>
  <si>
    <t>Fixed Cost: 501–2000 users ($/mo)</t>
  </si>
  <si>
    <t>Second person + scaling infra</t>
  </si>
  <si>
    <t>Fixed Cost: 2001–10000 users ($/mo)</t>
  </si>
  <si>
    <t>Small team (3–4 people)</t>
  </si>
  <si>
    <t>Fixed Cost: 10000+ users ($/mo)</t>
  </si>
  <si>
    <t>Ops + eng + support team</t>
  </si>
  <si>
    <t>── MARKETING MODEL</t>
  </si>
  <si>
    <t>Marketing % of Revenue</t>
  </si>
  <si>
    <t>B2C SaaS benchmark: 25–45% early stage</t>
  </si>
  <si>
    <t>Minimum Marketing Floor ($/mo)</t>
  </si>
  <si>
    <t>Guarantees growth even at near-zero revenue</t>
  </si>
  <si>
    <t>CAC — Cost per Acquired User ($)</t>
  </si>
  <si>
    <t>Pess=$120 no PLG. Base=$70 new brand. Opti=$35 strong PLG</t>
  </si>
  <si>
    <t>── USER ACQUISITION</t>
  </si>
  <si>
    <t>Organic Growth Rate (%/mo)</t>
  </si>
  <si>
    <t>% of paid base added organically</t>
  </si>
  <si>
    <t>Monthly Churn Rate</t>
  </si>
  <si>
    <t>B2C AI norm: 5–10%/mo</t>
  </si>
  <si>
    <t>Initial Paid Users (Month 0)</t>
  </si>
  <si>
    <t>Pre-launch = 0</t>
  </si>
  <si>
    <t>── AI / LLM COSTS</t>
  </si>
  <si>
    <t>LLM / API Cost per User/mo ($)</t>
  </si>
  <si>
    <t>Pess=$10 updated. Base=$8 updated. Opti=$6 own infra/caching</t>
  </si>
  <si>
    <t>── REVENUE</t>
  </si>
  <si>
    <t>ARPU — Monthly per Paid User ($)</t>
  </si>
  <si>
    <t>Pess=$15. Base=$19. Opti=$29 prosumer</t>
  </si>
  <si>
    <t>── PROJECTION</t>
  </si>
  <si>
    <t>Projection Horizon (months)</t>
  </si>
  <si>
    <t>Extended to 36 months</t>
  </si>
  <si>
    <t>Fixed Cost tiers are the same across all scenarios (only LLM, CAC, ARPU, churn differ by scenario). Change tier values above to update all scenarios simultaneously.</t>
  </si>
  <si>
    <t>🔵 Blue = input (change freely)   |   Black = formula   |   Green = link from Parameters</t>
  </si>
  <si>
    <t>Month</t>
  </si>
  <si>
    <t>Period_Label</t>
  </si>
  <si>
    <t>Scenario</t>
  </si>
  <si>
    <t>Users_Paid</t>
  </si>
  <si>
    <t>Users_New_Paid</t>
  </si>
  <si>
    <t>Users_New_Organic</t>
  </si>
  <si>
    <t>Users_Churned</t>
  </si>
  <si>
    <t>Revenue_USD</t>
  </si>
  <si>
    <t>Marketing_USD</t>
  </si>
  <si>
    <t>LLM_Cost_USD</t>
  </si>
  <si>
    <t>Fixed_Cost_USD</t>
  </si>
  <si>
    <t>Total_Cost_USD</t>
  </si>
  <si>
    <t>Gross_Profit_USD</t>
  </si>
  <si>
    <t>Monthly_PnL_USD</t>
  </si>
  <si>
    <t>Cumulative_PnL_USD</t>
  </si>
  <si>
    <t>Gross_Margin_Pct</t>
  </si>
  <si>
    <t>Net_Margin_Pct</t>
  </si>
  <si>
    <t>ARPU_USD</t>
  </si>
  <si>
    <t>LLM_Per_User_USD</t>
  </si>
  <si>
    <t>CAC_USD</t>
  </si>
  <si>
    <t>LTV_USD</t>
  </si>
  <si>
    <t>CAC_Payback_Mo</t>
  </si>
  <si>
    <t>LTV_CAC_Ratio</t>
  </si>
  <si>
    <t>Breakeven_Flag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</si>
  <si>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</si>
  <si>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</si>
  <si>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</si>
  <si>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</si>
  <si>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</si>
  <si>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</si>
  <si>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</si>
  <si>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</si>
  <si>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</si>
  <si>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</si>
  <si>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</si>
  <si>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</si>
  <si>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</si>
  <si>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</si>
  <si>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</si>
  <si>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</si>
  <si>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</si>
  <si>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</si>
  <si>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</si>
  <si>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</si>
  <si>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</si>
  <si>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</si>
  <si>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</si>
  <si>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</si>
  <si>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</si>
  <si>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</si>
  <si>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</si>
  <si>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</si>
  <si>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</si>
  <si>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</si>
  <si>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</si>
  <si>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</si>
  <si>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</si>
  <si>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</si>
  <si>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</si>
  <si>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</si>
  <si>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Users Range</t>
  </si>
  <si>
    <t>Fixed Cost/mo</t>
  </si>
  <si>
    <t>Rationale</t>
  </si>
  <si>
    <t>0 – 100</t>
  </si>
  <si>
    <t>$1,000</t>
  </si>
  <si>
    <t>101 – 500</t>
  </si>
  <si>
    <t>Part-time hire or infra upgrade</t>
  </si>
  <si>
    <t>501 – 2,000</t>
  </si>
  <si>
    <t>$4,000</t>
  </si>
  <si>
    <t>2nd person + scaling servers</t>
  </si>
  <si>
    <t>2,001 – 10,000</t>
  </si>
  <si>
    <t>$8,000</t>
  </si>
  <si>
    <t>Small team 3–4 people</t>
  </si>
  <si>
    <t>10,000+</t>
  </si>
  <si>
    <t>$15,000</t>
  </si>
  <si>
    <t>Step</t>
  </si>
  <si>
    <t>DAX / Instructions</t>
  </si>
  <si>
    <t>1. Load file</t>
  </si>
  <si>
    <t>Power BI Desktop → Get Data → Excel Workbook → select this file → check Monthly_Data → Load</t>
  </si>
  <si>
    <t>2. Scenario slicer</t>
  </si>
  <si>
    <t>Add Slicer visual → field: Monthly_Data[Scenario]
Filters all charts: Pessimistic / Base Case / Optimistic</t>
  </si>
  <si>
    <t>3. Breakeven Month</t>
  </si>
  <si>
    <t>New Measure:
Breakeven Month = CALCULATE(MIN(Monthly_Data[Month]), Monthly_Data[Breakeven_Flag] = 1)</t>
  </si>
  <si>
    <t>4. Total Revenue</t>
  </si>
  <si>
    <t>New Measure:
Total Revenue = SUM(Monthly_Data[Revenue_USD])</t>
  </si>
  <si>
    <t>5. Total Cost</t>
  </si>
  <si>
    <t>New Measure:
Total Cost = SUM(Monthly_Data[Total_Cost_USD])</t>
  </si>
  <si>
    <t>6. Final Cumulative PnL</t>
  </si>
  <si>
    <t>New Measure:
Final PnL = CALCULATE(MAX(Monthly_Data[Cumulative_PnL_USD]), Monthly_Data[Month] = MAX(Monthly_Data[Month]))</t>
  </si>
  <si>
    <t>7. LTV/CAC (last month)</t>
  </si>
  <si>
    <t>New Measure:
LTV CAC Ratio = CALCULATE(MAX(Monthly_Data[LTV_CAC_Ratio]), Monthly_Data[Month] = MAX(Monthly_Data[Month]))</t>
  </si>
  <si>
    <t>8. Chart: Cumulative P&amp;L</t>
  </si>
  <si>
    <t>Line Chart → X: Month → Y: Cumulative_PnL_USD → Legend: Scenario
Analytics pane → Constant Line → value 0</t>
  </si>
  <si>
    <t>9. Chart: Revenue vs Cost</t>
  </si>
  <si>
    <t>Line Chart → X: Month → Y: Revenue_USD + Total_Cost_USD → Legend: Scenario</t>
  </si>
  <si>
    <t>10. Chart: Users Growth</t>
  </si>
  <si>
    <t>Area Chart → X: Month → Y: Users_Paid → Legend: Scenario</t>
  </si>
  <si>
    <t>11. Chart: Monthly P&amp;L</t>
  </si>
  <si>
    <t>Column Chart → X: Month → Y: Monthly_PnL_USD → Legend: Scenario</t>
  </si>
  <si>
    <t>12. Chart: Fixed Cost Steps</t>
  </si>
  <si>
    <t>Step Line Chart → X: Month → Y: Fixed_Cost_USD → Legend: Scenario
Shows tier jumps as user base grows</t>
  </si>
  <si>
    <t>13. KPI Cards</t>
  </si>
  <si>
    <t>Card visuals → Breakeven Month, Final PnL, LTV CAC Ratio, Total Revenue</t>
  </si>
  <si>
    <t>14. Update parameters</t>
  </si>
  <si>
    <t>Edit yellow cells in Parameters sheet → Save Excel
Power BI: Home → Refresh → all scenarios recalculate</t>
  </si>
  <si>
    <t>$1500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</si>
</sst>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$"/>
    <numFmt numFmtId="165" formatCode="0.0%"/>
    <numFmt numFmtId="166" formatCode="#,##0.00\$"/>
    <numFmt numFmtId="167" formatCode="0.0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10"/>
      <color rgb="FF666666"/>
      <name val="Arial"/>
      <charset val="1"/>
    </font>
    <font>
      <i/>
      <sz val="9"/>
      <color rgb="FF0070C0"/>
      <name val="Arial"/>
      <charset val="1"/>
    </font>
    <font>
      <b/>
      <sz val="10"/>
      <color rgb="FFFFFFFF"/>
      <name val="Arial"/>
      <charset val="1"/>
    </font>
    <font>
      <i/>
      <sz val="10"/>
      <color rgb="FF595959"/>
      <name val="Arial"/>
      <charset val="1"/>
    </font>
    <font>
      <sz val="10"/>
      <color rgb="FF006600"/>
      <name val="Arial"/>
      <charset val="1"/>
    </font>
    <font>
      <sz val="10"/>
      <color rgb="FF59595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CFCFCF"/>
      </patternFill>
    </fill>
    <fill>
      <patternFill patternType="solid">
        <fgColor rgb="FFFCE4D6"/>
        <bgColor rgb="FFF2F2F2"/>
      </patternFill>
    </fill>
    <fill>
      <patternFill patternType="solid">
        <fgColor rgb="FFDDEEFF"/>
        <bgColor rgb="FFEEF2F8"/>
      </patternFill>
    </fill>
    <fill>
      <patternFill patternType="solid">
        <fgColor rgb="FFE2EFDA"/>
        <bgColor rgb="FFF2F2F2"/>
      </patternFill>
    </fill>
    <fill>
      <patternFill patternType="solid">
        <fgColor rgb="FFEEF2F8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FFFACD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2F2F2"/>
        <bgColor rgb="FFEEF2F8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7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165" fontId="5" fillId="9" borderId="1" xfId="0" applyNumberFormat="1" applyFont="1" applyFill="1" applyBorder="1" applyAlignment="1">
      <alignment horizontal="right" vertical="center"/>
    </xf>
    <xf numFmtId="3" fontId="5" fillId="9" borderId="1" xfId="0" applyNumberFormat="1" applyFont="1" applyFill="1" applyBorder="1" applyAlignment="1">
      <alignment horizontal="right" vertical="center"/>
    </xf>
    <xf numFmtId="166" fontId="5" fillId="9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10" fillId="4" borderId="1" xfId="0" applyNumberFormat="1" applyFont="1" applyFill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right" vertical="center"/>
    </xf>
    <xf numFmtId="166" fontId="10" fillId="8" borderId="1" xfId="0" applyNumberFormat="1" applyFont="1" applyFill="1" applyBorder="1" applyAlignment="1">
      <alignment horizontal="right" vertical="center"/>
    </xf>
    <xf numFmtId="167" fontId="4" fillId="8" borderId="1" xfId="0" applyNumberFormat="1" applyFont="1" applyFill="1" applyBorder="1" applyAlignment="1">
      <alignment horizontal="right" vertical="center"/>
    </xf>
    <xf numFmtId="2" fontId="4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66" fontId="10" fillId="6" borderId="1" xfId="0" applyNumberFormat="1" applyFont="1" applyFill="1" applyBorder="1" applyAlignment="1">
      <alignment horizontal="right" vertical="center"/>
    </xf>
    <xf numFmtId="167" fontId="4" fillId="6" borderId="1" xfId="0" applyNumberFormat="1" applyFont="1" applyFill="1" applyBorder="1" applyAlignment="1">
      <alignment horizontal="right" vertical="center"/>
    </xf>
    <xf numFmtId="2" fontId="4" fillId="6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ACD"/>
      <rgbColor rgb="FFDDEE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E2EFDA"/>
      <rgbColor rgb="FFF2F2F2"/>
      <rgbColor rgb="FFFAFAFA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ColWidth="8.6640625" defaultRowHeight="14.4" x14ac:dyDescent="0.3"/>
  <cols>
    <col min="1" max="1" width="36" customWidth="1"/>
    <col min="2" max="4" width="16" customWidth="1"/>
    <col min="5" max="5" width="46" customWidth="1"/>
  </cols>
  <sheetData>
    <row r="1" spans="1:5" ht="27.75" customHeight="1" x14ac:dyDescent="0.3">
      <c r="A1" s="3" t="s">
        <v>0</v>
      </c>
      <c r="B1" s="3"/>
      <c r="C1" s="3"/>
      <c r="D1" s="3"/>
      <c r="E1" s="3"/>
    </row>
    <row r="2" spans="1:5" ht="15" customHeight="1" x14ac:dyDescent="0.3">
      <c r="A2" s="4" t="s">
        <v>1</v>
      </c>
      <c r="B2" s="5" t="s">
        <v>2</v>
      </c>
      <c r="C2" s="6" t="s">
        <v>3</v>
      </c>
      <c r="D2" s="7" t="s">
        <v>4</v>
      </c>
      <c r="E2" s="4" t="s">
        <v>5</v>
      </c>
    </row>
    <row r="3" spans="1:5" ht="15" customHeight="1" x14ac:dyDescent="0.3">
      <c r="A3" s="2" t="s">
        <v>6</v>
      </c>
      <c r="B3" s="2"/>
      <c r="C3" s="2"/>
      <c r="D3" s="2"/>
      <c r="E3" s="2"/>
    </row>
    <row r="4" spans="1:5" ht="15" customHeight="1" x14ac:dyDescent="0.3">
      <c r="A4" s="9" t="s">
        <v>7</v>
      </c>
      <c r="B4" s="10">
        <v>3000</v>
      </c>
      <c r="C4" s="10">
        <v>2000</v>
      </c>
      <c r="D4" s="10">
        <v>1000</v>
      </c>
      <c r="E4" s="11" t="s">
        <v>8</v>
      </c>
    </row>
    <row r="5" spans="1:5" ht="15" customHeight="1" x14ac:dyDescent="0.3">
      <c r="A5" s="2" t="s">
        <v>9</v>
      </c>
      <c r="B5" s="2"/>
      <c r="C5" s="2"/>
      <c r="D5" s="2"/>
      <c r="E5" s="2"/>
    </row>
    <row r="6" spans="1:5" ht="15" customHeight="1" x14ac:dyDescent="0.3">
      <c r="A6" s="9" t="s">
        <v>10</v>
      </c>
      <c r="B6" s="10">
        <v>1000</v>
      </c>
      <c r="C6" s="10">
        <v>1000</v>
      </c>
      <c r="D6" s="10">
        <v>1000</v>
      </c>
      <c r="E6" s="11" t="s">
        <v>11</v>
      </c>
    </row>
    <row r="7" spans="1:5" ht="15" customHeight="1" x14ac:dyDescent="0.3">
      <c r="A7" s="9" t="s">
        <v>12</v>
      </c>
      <c r="B7" s="10">
        <v>2000</v>
      </c>
      <c r="C7" s="10">
        <v>1500</v>
      </c>
      <c r="D7" s="10">
        <v>2000</v>
      </c>
      <c r="E7" s="11" t="s">
        <v>13</v>
      </c>
    </row>
    <row r="8" spans="1:5" ht="15" customHeight="1" x14ac:dyDescent="0.3">
      <c r="A8" s="9" t="s">
        <v>14</v>
      </c>
      <c r="B8" s="10">
        <v>4000</v>
      </c>
      <c r="C8" s="10">
        <v>4000</v>
      </c>
      <c r="D8" s="10">
        <v>4000</v>
      </c>
      <c r="E8" s="11" t="s">
        <v>15</v>
      </c>
    </row>
    <row r="9" spans="1:5" ht="15" customHeight="1" x14ac:dyDescent="0.3">
      <c r="A9" s="9" t="s">
        <v>16</v>
      </c>
      <c r="B9" s="10">
        <v>8000</v>
      </c>
      <c r="C9" s="10">
        <v>8000</v>
      </c>
      <c r="D9" s="10">
        <v>8000</v>
      </c>
      <c r="E9" s="11" t="s">
        <v>17</v>
      </c>
    </row>
    <row r="10" spans="1:5" ht="15" customHeight="1" x14ac:dyDescent="0.3">
      <c r="A10" s="9" t="s">
        <v>18</v>
      </c>
      <c r="B10" s="10">
        <v>15000</v>
      </c>
      <c r="C10" s="10">
        <v>11000</v>
      </c>
      <c r="D10" s="10">
        <v>11000</v>
      </c>
      <c r="E10" s="11" t="s">
        <v>19</v>
      </c>
    </row>
    <row r="11" spans="1:5" ht="15" customHeight="1" x14ac:dyDescent="0.3">
      <c r="A11" s="2" t="s">
        <v>20</v>
      </c>
      <c r="B11" s="2"/>
      <c r="C11" s="2"/>
      <c r="D11" s="2"/>
      <c r="E11" s="2"/>
    </row>
    <row r="12" spans="1:5" ht="15" customHeight="1" x14ac:dyDescent="0.3">
      <c r="A12" s="9" t="s">
        <v>21</v>
      </c>
      <c r="B12" s="12">
        <v>0.25</v>
      </c>
      <c r="C12" s="12">
        <v>0.35</v>
      </c>
      <c r="D12" s="12">
        <v>0.45</v>
      </c>
      <c r="E12" s="11" t="s">
        <v>22</v>
      </c>
    </row>
    <row r="13" spans="1:5" ht="15" customHeight="1" x14ac:dyDescent="0.3">
      <c r="A13" s="9" t="s">
        <v>23</v>
      </c>
      <c r="B13" s="10">
        <v>300</v>
      </c>
      <c r="C13" s="10">
        <v>600</v>
      </c>
      <c r="D13" s="10">
        <v>800</v>
      </c>
      <c r="E13" s="11" t="s">
        <v>24</v>
      </c>
    </row>
    <row r="14" spans="1:5" ht="15" customHeight="1" x14ac:dyDescent="0.3">
      <c r="A14" s="9" t="s">
        <v>25</v>
      </c>
      <c r="B14" s="10">
        <v>90</v>
      </c>
      <c r="C14" s="10">
        <v>60</v>
      </c>
      <c r="D14" s="10">
        <v>55</v>
      </c>
      <c r="E14" s="11" t="s">
        <v>26</v>
      </c>
    </row>
    <row r="15" spans="1:5" ht="15" customHeight="1" x14ac:dyDescent="0.3">
      <c r="A15" s="2" t="s">
        <v>27</v>
      </c>
      <c r="B15" s="2"/>
      <c r="C15" s="2"/>
      <c r="D15" s="2"/>
      <c r="E15" s="2"/>
    </row>
    <row r="16" spans="1:5" ht="15" customHeight="1" x14ac:dyDescent="0.3">
      <c r="A16" s="9" t="s">
        <v>28</v>
      </c>
      <c r="B16" s="12">
        <v>0.01</v>
      </c>
      <c r="C16" s="12">
        <v>0.03</v>
      </c>
      <c r="D16" s="12">
        <v>0.04</v>
      </c>
      <c r="E16" s="11" t="s">
        <v>29</v>
      </c>
    </row>
    <row r="17" spans="1:5" ht="15" customHeight="1" x14ac:dyDescent="0.3">
      <c r="A17" s="9" t="s">
        <v>30</v>
      </c>
      <c r="B17" s="12">
        <v>0.09</v>
      </c>
      <c r="C17" s="12">
        <v>0.06</v>
      </c>
      <c r="D17" s="12">
        <v>0.04</v>
      </c>
      <c r="E17" s="11" t="s">
        <v>31</v>
      </c>
    </row>
    <row r="18" spans="1:5" ht="15" customHeight="1" x14ac:dyDescent="0.3">
      <c r="A18" s="9" t="s">
        <v>32</v>
      </c>
      <c r="B18" s="13">
        <v>0</v>
      </c>
      <c r="C18" s="13">
        <v>0</v>
      </c>
      <c r="D18" s="13">
        <v>0</v>
      </c>
      <c r="E18" s="11" t="s">
        <v>33</v>
      </c>
    </row>
    <row r="19" spans="1:5" ht="15" customHeight="1" x14ac:dyDescent="0.3">
      <c r="A19" s="2" t="s">
        <v>34</v>
      </c>
      <c r="B19" s="2"/>
      <c r="C19" s="2"/>
      <c r="D19" s="2"/>
      <c r="E19" s="2"/>
    </row>
    <row r="20" spans="1:5" ht="15" customHeight="1" x14ac:dyDescent="0.3">
      <c r="A20" s="9" t="s">
        <v>35</v>
      </c>
      <c r="B20" s="14">
        <v>8</v>
      </c>
      <c r="C20" s="14">
        <v>7</v>
      </c>
      <c r="D20" s="14">
        <v>6</v>
      </c>
      <c r="E20" s="11" t="s">
        <v>36</v>
      </c>
    </row>
    <row r="21" spans="1:5" ht="15" customHeight="1" x14ac:dyDescent="0.3">
      <c r="A21" s="2" t="s">
        <v>37</v>
      </c>
      <c r="B21" s="2"/>
      <c r="C21" s="2"/>
      <c r="D21" s="2"/>
      <c r="E21" s="2"/>
    </row>
    <row r="22" spans="1:5" ht="15" customHeight="1" x14ac:dyDescent="0.3">
      <c r="A22" s="9" t="s">
        <v>38</v>
      </c>
      <c r="B22" s="14">
        <v>15</v>
      </c>
      <c r="C22" s="14">
        <v>23</v>
      </c>
      <c r="D22" s="14">
        <v>29</v>
      </c>
      <c r="E22" s="11" t="s">
        <v>39</v>
      </c>
    </row>
    <row r="23" spans="1:5" ht="15" customHeight="1" x14ac:dyDescent="0.3">
      <c r="A23" s="2" t="s">
        <v>40</v>
      </c>
      <c r="B23" s="2"/>
      <c r="C23" s="2"/>
      <c r="D23" s="2"/>
      <c r="E23" s="2"/>
    </row>
    <row r="24" spans="1:5" ht="15" customHeight="1" x14ac:dyDescent="0.3">
      <c r="A24" s="9" t="s">
        <v>41</v>
      </c>
      <c r="B24" s="13">
        <v>36</v>
      </c>
      <c r="C24" s="13">
        <v>36</v>
      </c>
      <c r="D24" s="13">
        <v>36</v>
      </c>
      <c r="E24" s="11" t="s">
        <v>42</v>
      </c>
    </row>
    <row r="26" spans="1:5" ht="15" customHeight="1" x14ac:dyDescent="0.3">
      <c r="A26" s="1" t="s">
        <v>43</v>
      </c>
      <c r="B26" s="1"/>
      <c r="C26" s="1"/>
      <c r="D26" s="1"/>
      <c r="E26" s="1"/>
    </row>
    <row r="27" spans="1:5" ht="15" customHeight="1" x14ac:dyDescent="0.3">
      <c r="A27" s="1" t="s">
        <v>44</v>
      </c>
      <c r="B27" s="1"/>
      <c r="C27" s="1"/>
      <c r="D27" s="1"/>
      <c r="E27" s="1"/>
    </row>
  </sheetData>
  <mergeCells count="10">
    <mergeCell ref="A19:E19"/>
    <mergeCell ref="A21:E21"/>
    <mergeCell ref="A23:E23"/>
    <mergeCell ref="A26:E26"/>
    <mergeCell ref="A27:E27"/>
    <mergeCell ref="A1:E1"/>
    <mergeCell ref="A3:E3"/>
    <mergeCell ref="A5:E5"/>
    <mergeCell ref="A11:E11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9"/>
  <sheetViews>
    <sheetView showGridLines="0" tabSelected="1" zoomScaleNormal="100" workbookViewId="0">
      <pane xSplit="3" ySplit="1" topLeftCell="D39" activePane="bottomRight" state="frozen"/>
      <selection pane="topRight" activeCell="D1" sqref="D1"/>
      <selection pane="bottomLeft" activeCell="A2" sqref="A2"/>
      <selection pane="bottomRight" activeCell="L38" sqref="L38"/>
    </sheetView>
  </sheetViews>
  <sheetFormatPr defaultColWidth="8.6640625" defaultRowHeight="14.4" x14ac:dyDescent="0.3"/>
  <cols>
    <col min="1" max="1" width="7" customWidth="1"/>
    <col min="2" max="2" width="10" customWidth="1"/>
    <col min="3" max="4" width="14" customWidth="1"/>
    <col min="5" max="5" width="16" customWidth="1"/>
    <col min="6" max="6" width="17" customWidth="1"/>
    <col min="7" max="9" width="15" customWidth="1"/>
    <col min="10" max="10" width="14" customWidth="1"/>
    <col min="11" max="12" width="15" customWidth="1"/>
    <col min="13" max="14" width="16" customWidth="1"/>
    <col min="15" max="15" width="19" customWidth="1"/>
    <col min="16" max="16" width="16" customWidth="1"/>
    <col min="17" max="17" width="15" customWidth="1"/>
    <col min="18" max="18" width="12" customWidth="1"/>
    <col min="19" max="19" width="17" customWidth="1"/>
    <col min="20" max="21" width="12" customWidth="1"/>
    <col min="22" max="22" width="16" customWidth="1"/>
    <col min="23" max="23" width="14" customWidth="1"/>
    <col min="24" max="24" width="16" customWidth="1"/>
  </cols>
  <sheetData>
    <row r="1" spans="1:24" ht="15" customHeight="1" x14ac:dyDescent="0.3">
      <c r="A1" s="15" t="s">
        <v>45</v>
      </c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51</v>
      </c>
      <c r="H1" s="15" t="s">
        <v>52</v>
      </c>
      <c r="I1" s="15" t="s">
        <v>53</v>
      </c>
      <c r="J1" s="15" t="s">
        <v>54</v>
      </c>
      <c r="K1" s="15" t="s">
        <v>55</v>
      </c>
      <c r="L1" s="15" t="s">
        <v>56</v>
      </c>
      <c r="M1" s="15" t="s">
        <v>57</v>
      </c>
      <c r="N1" s="15" t="s">
        <v>58</v>
      </c>
      <c r="O1" s="15" t="s">
        <v>59</v>
      </c>
      <c r="P1" s="15" t="s">
        <v>60</v>
      </c>
      <c r="Q1" s="15" t="s">
        <v>61</v>
      </c>
      <c r="R1" s="15" t="s">
        <v>62</v>
      </c>
      <c r="S1" s="15" t="s">
        <v>63</v>
      </c>
      <c r="T1" s="15" t="s">
        <v>64</v>
      </c>
      <c r="U1" s="15" t="s">
        <v>65</v>
      </c>
      <c r="V1" s="15" t="s">
        <v>66</v>
      </c>
      <c r="W1" s="15" t="s">
        <v>67</v>
      </c>
      <c r="X1" s="15" t="s">
        <v>68</v>
      </c>
    </row>
    <row r="2" spans="1:24" ht="15" customHeight="1" x14ac:dyDescent="0.3">
      <c r="A2" s="16">
        <v>1</v>
      </c>
      <c r="B2" s="17" t="s">
        <v>69</v>
      </c>
      <c r="C2" s="17" t="s">
        <v>2</v>
      </c>
      <c r="D2" s="18">
        <f>MAX(0,Parameters!$B$18+E2+F2-G2)</f>
        <v>3</v>
      </c>
      <c r="E2" s="18">
        <f>ROUND(I2/Parameters!$B$14,0)</f>
        <v>3</v>
      </c>
      <c r="F2" s="18">
        <f>ROUND(Parameters!$B$18*Parameters!$B$16,0)</f>
        <v>0</v>
      </c>
      <c r="G2" s="18">
        <f>ROUND(Parameters!$B$18*Parameters!$B$17,0)</f>
        <v>0</v>
      </c>
      <c r="H2" s="19">
        <f>D2*Parameters!$B$22</f>
        <v>45</v>
      </c>
      <c r="I2" s="19">
        <f>MAX(Parameters!$B$13,0)</f>
        <v>300</v>
      </c>
      <c r="J2" s="19">
        <f>D2*Parameters!$B$20</f>
        <v>24</v>
      </c>
      <c r="K2" s="19">
        <f>IF(D2&lt;=100,Parameters!$B$6,IF(D2&lt;=500,Parameters!$B$7,IF(D2&lt;=2000,Parameters!$B$8,IF(D2&lt;=10000,Parameters!$B$9,Parameters!$B$10))))</f>
        <v>1000</v>
      </c>
      <c r="L2" s="19">
        <f t="shared" ref="L2:L33" si="0">I2+J2+K2</f>
        <v>1324</v>
      </c>
      <c r="M2" s="19">
        <f t="shared" ref="M2:M33" si="1">H2-J2</f>
        <v>21</v>
      </c>
      <c r="N2" s="19">
        <f t="shared" ref="N2:N33" si="2">H2-L2</f>
        <v>-1279</v>
      </c>
      <c r="O2" s="19">
        <f>N2-Parameters!$B$4</f>
        <v>-4279</v>
      </c>
      <c r="P2" s="20">
        <f t="shared" ref="P2:P33" si="3">IF(H2&lt;&gt;0,M2/H2,0)</f>
        <v>0.46666666666666667</v>
      </c>
      <c r="Q2" s="20">
        <f t="shared" ref="Q2:Q33" si="4">IF(H2&lt;&gt;0,N2/H2,0)</f>
        <v>-28.422222222222221</v>
      </c>
      <c r="R2" s="21">
        <f>Parameters!$B$22</f>
        <v>15</v>
      </c>
      <c r="S2" s="21">
        <f>Parameters!$B$20</f>
        <v>8</v>
      </c>
      <c r="T2" s="21">
        <f>Parameters!$B$14</f>
        <v>90</v>
      </c>
      <c r="U2" s="19">
        <f>IF(Parameters!$B$17&lt;&gt;0,(Parameters!$B$22-Parameters!$B$20)/Parameters!$B$17,0)</f>
        <v>77.777777777777786</v>
      </c>
      <c r="V2" s="22">
        <f>IF((Parameters!$B$22-Parameters!$B$20)&gt;0,Parameters!$B$14/(Parameters!$B$22-Parameters!$B$20),999)</f>
        <v>12.857142857142858</v>
      </c>
      <c r="W2" s="23">
        <f>IF(Parameters!$B$14&lt;&gt;0,IF(Parameters!$B$17&lt;&gt;0,(Parameters!$B$22-Parameters!$B$20)/(Parameters!$B$17*Parameters!$B$14),0),0)</f>
        <v>0.86419753086419759</v>
      </c>
      <c r="X2" s="24">
        <f t="shared" ref="X2:X33" si="5">IF(O2&gt;=0,1,0)</f>
        <v>0</v>
      </c>
    </row>
    <row r="3" spans="1:24" ht="15" customHeight="1" x14ac:dyDescent="0.3">
      <c r="A3" s="16">
        <v>2</v>
      </c>
      <c r="B3" s="17" t="s">
        <v>70</v>
      </c>
      <c r="C3" s="17" t="s">
        <v>2</v>
      </c>
      <c r="D3" s="18">
        <f t="shared" ref="D3:D37" si="6">MAX(0,D2+E3+F3-G3)</f>
        <v>6</v>
      </c>
      <c r="E3" s="18">
        <f>ROUND(I3/Parameters!$B$14,0)</f>
        <v>3</v>
      </c>
      <c r="F3" s="18">
        <f>ROUND(D2*Parameters!$B$16,0)</f>
        <v>0</v>
      </c>
      <c r="G3" s="18">
        <f>ROUND(D2*Parameters!$B$17,0)</f>
        <v>0</v>
      </c>
      <c r="H3" s="19">
        <f>D3*Parameters!$B$22</f>
        <v>90</v>
      </c>
      <c r="I3" s="19">
        <f>MAX(Parameters!$B$13,H2*Parameters!$B$12)</f>
        <v>300</v>
      </c>
      <c r="J3" s="19">
        <f>D3*Parameters!$B$20</f>
        <v>48</v>
      </c>
      <c r="K3" s="19">
        <f>IF(D3&lt;=100,Parameters!$B$6,IF(D3&lt;=500,Parameters!$B$7,IF(D3&lt;=2000,Parameters!$B$8,IF(D3&lt;=10000,Parameters!$B$9,Parameters!$B$10))))</f>
        <v>1000</v>
      </c>
      <c r="L3" s="19">
        <f t="shared" si="0"/>
        <v>1348</v>
      </c>
      <c r="M3" s="19">
        <f t="shared" si="1"/>
        <v>42</v>
      </c>
      <c r="N3" s="19">
        <f t="shared" si="2"/>
        <v>-1258</v>
      </c>
      <c r="O3" s="19">
        <f t="shared" ref="O3:O37" si="7">O2+N3</f>
        <v>-5537</v>
      </c>
      <c r="P3" s="20">
        <f t="shared" si="3"/>
        <v>0.46666666666666667</v>
      </c>
      <c r="Q3" s="20">
        <f t="shared" si="4"/>
        <v>-13.977777777777778</v>
      </c>
      <c r="R3" s="21">
        <f>Parameters!$B$22</f>
        <v>15</v>
      </c>
      <c r="S3" s="21">
        <f>Parameters!$B$20</f>
        <v>8</v>
      </c>
      <c r="T3" s="21">
        <f>Parameters!$B$14</f>
        <v>90</v>
      </c>
      <c r="U3" s="19">
        <f>IF(Parameters!$B$17&lt;&gt;0,(Parameters!$B$22-Parameters!$B$20)/Parameters!$B$17,0)</f>
        <v>77.777777777777786</v>
      </c>
      <c r="V3" s="22">
        <f>IF((Parameters!$B$22-Parameters!$B$20)&gt;0,Parameters!$B$14/(Parameters!$B$22-Parameters!$B$20),999)</f>
        <v>12.857142857142858</v>
      </c>
      <c r="W3" s="23">
        <f>IF(Parameters!$B$14&lt;&gt;0,IF(Parameters!$B$17&lt;&gt;0,(Parameters!$B$22-Parameters!$B$20)/(Parameters!$B$17*Parameters!$B$14),0),0)</f>
        <v>0.86419753086419759</v>
      </c>
      <c r="X3" s="24">
        <f t="shared" si="5"/>
        <v>0</v>
      </c>
    </row>
    <row r="4" spans="1:24" ht="15" customHeight="1" x14ac:dyDescent="0.3">
      <c r="A4" s="16">
        <v>3</v>
      </c>
      <c r="B4" s="17" t="s">
        <v>71</v>
      </c>
      <c r="C4" s="17" t="s">
        <v>2</v>
      </c>
      <c r="D4" s="18">
        <f t="shared" si="6"/>
        <v>8</v>
      </c>
      <c r="E4" s="18">
        <f>ROUND(I4/Parameters!$B$14,0)</f>
        <v>3</v>
      </c>
      <c r="F4" s="18">
        <f>ROUND(D3*Parameters!$B$16,0)</f>
        <v>0</v>
      </c>
      <c r="G4" s="18">
        <f>ROUND(D3*Parameters!$B$17,0)</f>
        <v>1</v>
      </c>
      <c r="H4" s="19">
        <f>D4*Parameters!$B$22</f>
        <v>120</v>
      </c>
      <c r="I4" s="19">
        <f>MAX(Parameters!$B$13,H3*Parameters!$B$12)</f>
        <v>300</v>
      </c>
      <c r="J4" s="19">
        <f>D4*Parameters!$B$20</f>
        <v>64</v>
      </c>
      <c r="K4" s="19">
        <f>IF(D4&lt;=100,Parameters!$B$6,IF(D4&lt;=500,Parameters!$B$7,IF(D4&lt;=2000,Parameters!$B$8,IF(D4&lt;=10000,Parameters!$B$9,Parameters!$B$10))))</f>
        <v>1000</v>
      </c>
      <c r="L4" s="19">
        <f t="shared" si="0"/>
        <v>1364</v>
      </c>
      <c r="M4" s="19">
        <f t="shared" si="1"/>
        <v>56</v>
      </c>
      <c r="N4" s="19">
        <f t="shared" si="2"/>
        <v>-1244</v>
      </c>
      <c r="O4" s="19">
        <f t="shared" si="7"/>
        <v>-6781</v>
      </c>
      <c r="P4" s="20">
        <f t="shared" si="3"/>
        <v>0.46666666666666667</v>
      </c>
      <c r="Q4" s="20">
        <f t="shared" si="4"/>
        <v>-10.366666666666667</v>
      </c>
      <c r="R4" s="21">
        <f>Parameters!$B$22</f>
        <v>15</v>
      </c>
      <c r="S4" s="21">
        <f>Parameters!$B$20</f>
        <v>8</v>
      </c>
      <c r="T4" s="21">
        <f>Parameters!$B$14</f>
        <v>90</v>
      </c>
      <c r="U4" s="19">
        <f>IF(Parameters!$B$17&lt;&gt;0,(Parameters!$B$22-Parameters!$B$20)/Parameters!$B$17,0)</f>
        <v>77.777777777777786</v>
      </c>
      <c r="V4" s="22">
        <f>IF((Parameters!$B$22-Parameters!$B$20)&gt;0,Parameters!$B$14/(Parameters!$B$22-Parameters!$B$20),999)</f>
        <v>12.857142857142858</v>
      </c>
      <c r="W4" s="23">
        <f>IF(Parameters!$B$14&lt;&gt;0,IF(Parameters!$B$17&lt;&gt;0,(Parameters!$B$22-Parameters!$B$20)/(Parameters!$B$17*Parameters!$B$14),0),0)</f>
        <v>0.86419753086419759</v>
      </c>
      <c r="X4" s="24">
        <f t="shared" si="5"/>
        <v>0</v>
      </c>
    </row>
    <row r="5" spans="1:24" ht="15" customHeight="1" x14ac:dyDescent="0.3">
      <c r="A5" s="16">
        <v>4</v>
      </c>
      <c r="B5" s="17" t="s">
        <v>72</v>
      </c>
      <c r="C5" s="17" t="s">
        <v>2</v>
      </c>
      <c r="D5" s="18">
        <f t="shared" si="6"/>
        <v>10</v>
      </c>
      <c r="E5" s="18">
        <f>ROUND(I5/Parameters!$B$14,0)</f>
        <v>3</v>
      </c>
      <c r="F5" s="18">
        <f>ROUND(D4*Parameters!$B$16,0)</f>
        <v>0</v>
      </c>
      <c r="G5" s="18">
        <f>ROUND(D4*Parameters!$B$17,0)</f>
        <v>1</v>
      </c>
      <c r="H5" s="19">
        <f>D5*Parameters!$B$22</f>
        <v>150</v>
      </c>
      <c r="I5" s="19">
        <f>MAX(Parameters!$B$13,H4*Parameters!$B$12)</f>
        <v>300</v>
      </c>
      <c r="J5" s="19">
        <f>D5*Parameters!$B$20</f>
        <v>80</v>
      </c>
      <c r="K5" s="19">
        <f>IF(D5&lt;=100,Parameters!$B$6,IF(D5&lt;=500,Parameters!$B$7,IF(D5&lt;=2000,Parameters!$B$8,IF(D5&lt;=10000,Parameters!$B$9,Parameters!$B$10))))</f>
        <v>1000</v>
      </c>
      <c r="L5" s="19">
        <f t="shared" si="0"/>
        <v>1380</v>
      </c>
      <c r="M5" s="19">
        <f t="shared" si="1"/>
        <v>70</v>
      </c>
      <c r="N5" s="19">
        <f t="shared" si="2"/>
        <v>-1230</v>
      </c>
      <c r="O5" s="19">
        <f t="shared" si="7"/>
        <v>-8011</v>
      </c>
      <c r="P5" s="20">
        <f t="shared" si="3"/>
        <v>0.46666666666666667</v>
      </c>
      <c r="Q5" s="20">
        <f t="shared" si="4"/>
        <v>-8.1999999999999993</v>
      </c>
      <c r="R5" s="21">
        <f>Parameters!$B$22</f>
        <v>15</v>
      </c>
      <c r="S5" s="21">
        <f>Parameters!$B$20</f>
        <v>8</v>
      </c>
      <c r="T5" s="21">
        <f>Parameters!$B$14</f>
        <v>90</v>
      </c>
      <c r="U5" s="19">
        <f>IF(Parameters!$B$17&lt;&gt;0,(Parameters!$B$22-Parameters!$B$20)/Parameters!$B$17,0)</f>
        <v>77.777777777777786</v>
      </c>
      <c r="V5" s="22">
        <f>IF((Parameters!$B$22-Parameters!$B$20)&gt;0,Parameters!$B$14/(Parameters!$B$22-Parameters!$B$20),999)</f>
        <v>12.857142857142858</v>
      </c>
      <c r="W5" s="23">
        <f>IF(Parameters!$B$14&lt;&gt;0,IF(Parameters!$B$17&lt;&gt;0,(Parameters!$B$22-Parameters!$B$20)/(Parameters!$B$17*Parameters!$B$14),0),0)</f>
        <v>0.86419753086419759</v>
      </c>
      <c r="X5" s="24">
        <f t="shared" si="5"/>
        <v>0</v>
      </c>
    </row>
    <row r="6" spans="1:24" ht="15" customHeight="1" x14ac:dyDescent="0.3">
      <c r="A6" s="16">
        <v>5</v>
      </c>
      <c r="B6" s="17" t="s">
        <v>73</v>
      </c>
      <c r="C6" s="17" t="s">
        <v>2</v>
      </c>
      <c r="D6" s="18">
        <f t="shared" si="6"/>
        <v>12</v>
      </c>
      <c r="E6" s="18">
        <f>ROUND(I6/Parameters!$B$14,0)</f>
        <v>3</v>
      </c>
      <c r="F6" s="18">
        <f>ROUND(D5*Parameters!$B$16,0)</f>
        <v>0</v>
      </c>
      <c r="G6" s="18">
        <f>ROUND(D5*Parameters!$B$17,0)</f>
        <v>1</v>
      </c>
      <c r="H6" s="19">
        <f>D6*Parameters!$B$22</f>
        <v>180</v>
      </c>
      <c r="I6" s="19">
        <f>MAX(Parameters!$B$13,H5*Parameters!$B$12)</f>
        <v>300</v>
      </c>
      <c r="J6" s="19">
        <f>D6*Parameters!$B$20</f>
        <v>96</v>
      </c>
      <c r="K6" s="19">
        <f>IF(D6&lt;=100,Parameters!$B$6,IF(D6&lt;=500,Parameters!$B$7,IF(D6&lt;=2000,Parameters!$B$8,IF(D6&lt;=10000,Parameters!$B$9,Parameters!$B$10))))</f>
        <v>1000</v>
      </c>
      <c r="L6" s="19">
        <f t="shared" si="0"/>
        <v>1396</v>
      </c>
      <c r="M6" s="19">
        <f t="shared" si="1"/>
        <v>84</v>
      </c>
      <c r="N6" s="19">
        <f t="shared" si="2"/>
        <v>-1216</v>
      </c>
      <c r="O6" s="19">
        <f t="shared" si="7"/>
        <v>-9227</v>
      </c>
      <c r="P6" s="20">
        <f t="shared" si="3"/>
        <v>0.46666666666666667</v>
      </c>
      <c r="Q6" s="20">
        <f t="shared" si="4"/>
        <v>-6.7555555555555555</v>
      </c>
      <c r="R6" s="21">
        <f>Parameters!$B$22</f>
        <v>15</v>
      </c>
      <c r="S6" s="21">
        <f>Parameters!$B$20</f>
        <v>8</v>
      </c>
      <c r="T6" s="21">
        <f>Parameters!$B$14</f>
        <v>90</v>
      </c>
      <c r="U6" s="19">
        <f>IF(Parameters!$B$17&lt;&gt;0,(Parameters!$B$22-Parameters!$B$20)/Parameters!$B$17,0)</f>
        <v>77.777777777777786</v>
      </c>
      <c r="V6" s="22">
        <f>IF((Parameters!$B$22-Parameters!$B$20)&gt;0,Parameters!$B$14/(Parameters!$B$22-Parameters!$B$20),999)</f>
        <v>12.857142857142858</v>
      </c>
      <c r="W6" s="23">
        <f>IF(Parameters!$B$14&lt;&gt;0,IF(Parameters!$B$17&lt;&gt;0,(Parameters!$B$22-Parameters!$B$20)/(Parameters!$B$17*Parameters!$B$14),0),0)</f>
        <v>0.86419753086419759</v>
      </c>
      <c r="X6" s="24">
        <f t="shared" si="5"/>
        <v>0</v>
      </c>
    </row>
    <row r="7" spans="1:24" ht="15" customHeight="1" x14ac:dyDescent="0.3">
      <c r="A7" s="16">
        <v>6</v>
      </c>
      <c r="B7" s="17" t="s">
        <v>74</v>
      </c>
      <c r="C7" s="17" t="s">
        <v>2</v>
      </c>
      <c r="D7" s="18">
        <f t="shared" si="6"/>
        <v>14</v>
      </c>
      <c r="E7" s="18">
        <f>ROUND(I7/Parameters!$B$14,0)</f>
        <v>3</v>
      </c>
      <c r="F7" s="18">
        <f>ROUND(D6*Parameters!$B$16,0)</f>
        <v>0</v>
      </c>
      <c r="G7" s="18">
        <f>ROUND(D6*Parameters!$B$17,0)</f>
        <v>1</v>
      </c>
      <c r="H7" s="19">
        <f>D7*Parameters!$B$22</f>
        <v>210</v>
      </c>
      <c r="I7" s="19">
        <f>MAX(Parameters!$B$13,H6*Parameters!$B$12)</f>
        <v>300</v>
      </c>
      <c r="J7" s="19">
        <f>D7*Parameters!$B$20</f>
        <v>112</v>
      </c>
      <c r="K7" s="19">
        <f>IF(D7&lt;=100,Parameters!$B$6,IF(D7&lt;=500,Parameters!$B$7,IF(D7&lt;=2000,Parameters!$B$8,IF(D7&lt;=10000,Parameters!$B$9,Parameters!$B$10))))</f>
        <v>1000</v>
      </c>
      <c r="L7" s="19">
        <f t="shared" si="0"/>
        <v>1412</v>
      </c>
      <c r="M7" s="19">
        <f t="shared" si="1"/>
        <v>98</v>
      </c>
      <c r="N7" s="19">
        <f t="shared" si="2"/>
        <v>-1202</v>
      </c>
      <c r="O7" s="19">
        <f t="shared" si="7"/>
        <v>-10429</v>
      </c>
      <c r="P7" s="20">
        <f t="shared" si="3"/>
        <v>0.46666666666666667</v>
      </c>
      <c r="Q7" s="20">
        <f t="shared" si="4"/>
        <v>-5.7238095238095239</v>
      </c>
      <c r="R7" s="21">
        <f>Parameters!$B$22</f>
        <v>15</v>
      </c>
      <c r="S7" s="21">
        <f>Parameters!$B$20</f>
        <v>8</v>
      </c>
      <c r="T7" s="21">
        <f>Parameters!$B$14</f>
        <v>90</v>
      </c>
      <c r="U7" s="19">
        <f>IF(Parameters!$B$17&lt;&gt;0,(Parameters!$B$22-Parameters!$B$20)/Parameters!$B$17,0)</f>
        <v>77.777777777777786</v>
      </c>
      <c r="V7" s="22">
        <f>IF((Parameters!$B$22-Parameters!$B$20)&gt;0,Parameters!$B$14/(Parameters!$B$22-Parameters!$B$20),999)</f>
        <v>12.857142857142858</v>
      </c>
      <c r="W7" s="23">
        <f>IF(Parameters!$B$14&lt;&gt;0,IF(Parameters!$B$17&lt;&gt;0,(Parameters!$B$22-Parameters!$B$20)/(Parameters!$B$17*Parameters!$B$14),0),0)</f>
        <v>0.86419753086419759</v>
      </c>
      <c r="X7" s="24">
        <f t="shared" si="5"/>
        <v>0</v>
      </c>
    </row>
    <row r="8" spans="1:24" ht="15" customHeight="1" x14ac:dyDescent="0.3">
      <c r="A8" s="16">
        <v>7</v>
      </c>
      <c r="B8" s="17" t="s">
        <v>75</v>
      </c>
      <c r="C8" s="17" t="s">
        <v>2</v>
      </c>
      <c r="D8" s="18">
        <f t="shared" si="6"/>
        <v>16</v>
      </c>
      <c r="E8" s="18">
        <f>ROUND(I8/Parameters!$B$14,0)</f>
        <v>3</v>
      </c>
      <c r="F8" s="18">
        <f>ROUND(D7*Parameters!$B$16,0)</f>
        <v>0</v>
      </c>
      <c r="G8" s="18">
        <f>ROUND(D7*Parameters!$B$17,0)</f>
        <v>1</v>
      </c>
      <c r="H8" s="19">
        <f>D8*Parameters!$B$22</f>
        <v>240</v>
      </c>
      <c r="I8" s="19">
        <f>MAX(Parameters!$B$13,H7*Parameters!$B$12)</f>
        <v>300</v>
      </c>
      <c r="J8" s="19">
        <f>D8*Parameters!$B$20</f>
        <v>128</v>
      </c>
      <c r="K8" s="19">
        <f>IF(D8&lt;=100,Parameters!$B$6,IF(D8&lt;=500,Parameters!$B$7,IF(D8&lt;=2000,Parameters!$B$8,IF(D8&lt;=10000,Parameters!$B$9,Parameters!$B$10))))</f>
        <v>1000</v>
      </c>
      <c r="L8" s="19">
        <f t="shared" si="0"/>
        <v>1428</v>
      </c>
      <c r="M8" s="19">
        <f t="shared" si="1"/>
        <v>112</v>
      </c>
      <c r="N8" s="19">
        <f t="shared" si="2"/>
        <v>-1188</v>
      </c>
      <c r="O8" s="19">
        <f t="shared" si="7"/>
        <v>-11617</v>
      </c>
      <c r="P8" s="20">
        <f t="shared" si="3"/>
        <v>0.46666666666666667</v>
      </c>
      <c r="Q8" s="20">
        <f t="shared" si="4"/>
        <v>-4.95</v>
      </c>
      <c r="R8" s="21">
        <f>Parameters!$B$22</f>
        <v>15</v>
      </c>
      <c r="S8" s="21">
        <f>Parameters!$B$20</f>
        <v>8</v>
      </c>
      <c r="T8" s="21">
        <f>Parameters!$B$14</f>
        <v>90</v>
      </c>
      <c r="U8" s="19">
        <f>IF(Parameters!$B$17&lt;&gt;0,(Parameters!$B$22-Parameters!$B$20)/Parameters!$B$17,0)</f>
        <v>77.777777777777786</v>
      </c>
      <c r="V8" s="22">
        <f>IF((Parameters!$B$22-Parameters!$B$20)&gt;0,Parameters!$B$14/(Parameters!$B$22-Parameters!$B$20),999)</f>
        <v>12.857142857142858</v>
      </c>
      <c r="W8" s="23">
        <f>IF(Parameters!$B$14&lt;&gt;0,IF(Parameters!$B$17&lt;&gt;0,(Parameters!$B$22-Parameters!$B$20)/(Parameters!$B$17*Parameters!$B$14),0),0)</f>
        <v>0.86419753086419759</v>
      </c>
      <c r="X8" s="24">
        <f t="shared" si="5"/>
        <v>0</v>
      </c>
    </row>
    <row r="9" spans="1:24" ht="15" customHeight="1" x14ac:dyDescent="0.3">
      <c r="A9" s="16">
        <v>8</v>
      </c>
      <c r="B9" s="17" t="s">
        <v>76</v>
      </c>
      <c r="C9" s="17" t="s">
        <v>2</v>
      </c>
      <c r="D9" s="18">
        <f t="shared" si="6"/>
        <v>18</v>
      </c>
      <c r="E9" s="18">
        <f>ROUND(I9/Parameters!$B$14,0)</f>
        <v>3</v>
      </c>
      <c r="F9" s="18">
        <f>ROUND(D8*Parameters!$B$16,0)</f>
        <v>0</v>
      </c>
      <c r="G9" s="18">
        <f>ROUND(D8*Parameters!$B$17,0)</f>
        <v>1</v>
      </c>
      <c r="H9" s="19">
        <f>D9*Parameters!$B$22</f>
        <v>270</v>
      </c>
      <c r="I9" s="19">
        <f>MAX(Parameters!$B$13,H8*Parameters!$B$12)</f>
        <v>300</v>
      </c>
      <c r="J9" s="19">
        <f>D9*Parameters!$B$20</f>
        <v>144</v>
      </c>
      <c r="K9" s="19">
        <f>IF(D9&lt;=100,Parameters!$B$6,IF(D9&lt;=500,Parameters!$B$7,IF(D9&lt;=2000,Parameters!$B$8,IF(D9&lt;=10000,Parameters!$B$9,Parameters!$B$10))))</f>
        <v>1000</v>
      </c>
      <c r="L9" s="19">
        <f t="shared" si="0"/>
        <v>1444</v>
      </c>
      <c r="M9" s="19">
        <f t="shared" si="1"/>
        <v>126</v>
      </c>
      <c r="N9" s="19">
        <f t="shared" si="2"/>
        <v>-1174</v>
      </c>
      <c r="O9" s="19">
        <f t="shared" si="7"/>
        <v>-12791</v>
      </c>
      <c r="P9" s="20">
        <f t="shared" si="3"/>
        <v>0.46666666666666667</v>
      </c>
      <c r="Q9" s="20">
        <f t="shared" si="4"/>
        <v>-4.3481481481481481</v>
      </c>
      <c r="R9" s="21">
        <f>Parameters!$B$22</f>
        <v>15</v>
      </c>
      <c r="S9" s="21">
        <f>Parameters!$B$20</f>
        <v>8</v>
      </c>
      <c r="T9" s="21">
        <f>Parameters!$B$14</f>
        <v>90</v>
      </c>
      <c r="U9" s="19">
        <f>IF(Parameters!$B$17&lt;&gt;0,(Parameters!$B$22-Parameters!$B$20)/Parameters!$B$17,0)</f>
        <v>77.777777777777786</v>
      </c>
      <c r="V9" s="22">
        <f>IF((Parameters!$B$22-Parameters!$B$20)&gt;0,Parameters!$B$14/(Parameters!$B$22-Parameters!$B$20),999)</f>
        <v>12.857142857142858</v>
      </c>
      <c r="W9" s="23">
        <f>IF(Parameters!$B$14&lt;&gt;0,IF(Parameters!$B$17&lt;&gt;0,(Parameters!$B$22-Parameters!$B$20)/(Parameters!$B$17*Parameters!$B$14),0),0)</f>
        <v>0.86419753086419759</v>
      </c>
      <c r="X9" s="24">
        <f t="shared" si="5"/>
        <v>0</v>
      </c>
    </row>
    <row r="10" spans="1:24" ht="15" customHeight="1" x14ac:dyDescent="0.3">
      <c r="A10" s="16">
        <v>9</v>
      </c>
      <c r="B10" s="17" t="s">
        <v>77</v>
      </c>
      <c r="C10" s="17" t="s">
        <v>2</v>
      </c>
      <c r="D10" s="18">
        <f t="shared" si="6"/>
        <v>19</v>
      </c>
      <c r="E10" s="18">
        <f>ROUND(I10/Parameters!$B$14,0)</f>
        <v>3</v>
      </c>
      <c r="F10" s="18">
        <f>ROUND(D9*Parameters!$B$16,0)</f>
        <v>0</v>
      </c>
      <c r="G10" s="18">
        <f>ROUND(D9*Parameters!$B$17,0)</f>
        <v>2</v>
      </c>
      <c r="H10" s="19">
        <f>D10*Parameters!$B$22</f>
        <v>285</v>
      </c>
      <c r="I10" s="19">
        <f>MAX(Parameters!$B$13,H9*Parameters!$B$12)</f>
        <v>300</v>
      </c>
      <c r="J10" s="19">
        <f>D10*Parameters!$B$20</f>
        <v>152</v>
      </c>
      <c r="K10" s="19">
        <f>IF(D10&lt;=100,Parameters!$B$6,IF(D10&lt;=500,Parameters!$B$7,IF(D10&lt;=2000,Parameters!$B$8,IF(D10&lt;=10000,Parameters!$B$9,Parameters!$B$10))))</f>
        <v>1000</v>
      </c>
      <c r="L10" s="19">
        <f t="shared" si="0"/>
        <v>1452</v>
      </c>
      <c r="M10" s="19">
        <f t="shared" si="1"/>
        <v>133</v>
      </c>
      <c r="N10" s="19">
        <f t="shared" si="2"/>
        <v>-1167</v>
      </c>
      <c r="O10" s="19">
        <f t="shared" si="7"/>
        <v>-13958</v>
      </c>
      <c r="P10" s="20">
        <f t="shared" si="3"/>
        <v>0.46666666666666667</v>
      </c>
      <c r="Q10" s="20">
        <f t="shared" si="4"/>
        <v>-4.094736842105263</v>
      </c>
      <c r="R10" s="21">
        <f>Parameters!$B$22</f>
        <v>15</v>
      </c>
      <c r="S10" s="21">
        <f>Parameters!$B$20</f>
        <v>8</v>
      </c>
      <c r="T10" s="21">
        <f>Parameters!$B$14</f>
        <v>90</v>
      </c>
      <c r="U10" s="19">
        <f>IF(Parameters!$B$17&lt;&gt;0,(Parameters!$B$22-Parameters!$B$20)/Parameters!$B$17,0)</f>
        <v>77.777777777777786</v>
      </c>
      <c r="V10" s="22">
        <f>IF((Parameters!$B$22-Parameters!$B$20)&gt;0,Parameters!$B$14/(Parameters!$B$22-Parameters!$B$20),999)</f>
        <v>12.857142857142858</v>
      </c>
      <c r="W10" s="23">
        <f>IF(Parameters!$B$14&lt;&gt;0,IF(Parameters!$B$17&lt;&gt;0,(Parameters!$B$22-Parameters!$B$20)/(Parameters!$B$17*Parameters!$B$14),0),0)</f>
        <v>0.86419753086419759</v>
      </c>
      <c r="X10" s="24">
        <f t="shared" si="5"/>
        <v>0</v>
      </c>
    </row>
    <row r="11" spans="1:24" ht="15" customHeight="1" x14ac:dyDescent="0.3">
      <c r="A11" s="16">
        <v>10</v>
      </c>
      <c r="B11" s="17" t="s">
        <v>78</v>
      </c>
      <c r="C11" s="17" t="s">
        <v>2</v>
      </c>
      <c r="D11" s="18">
        <f t="shared" si="6"/>
        <v>20</v>
      </c>
      <c r="E11" s="18">
        <f>ROUND(I11/Parameters!$B$14,0)</f>
        <v>3</v>
      </c>
      <c r="F11" s="18">
        <f>ROUND(D10*Parameters!$B$16,0)</f>
        <v>0</v>
      </c>
      <c r="G11" s="18">
        <f>ROUND(D10*Parameters!$B$17,0)</f>
        <v>2</v>
      </c>
      <c r="H11" s="19">
        <f>D11*Parameters!$B$22</f>
        <v>300</v>
      </c>
      <c r="I11" s="19">
        <f>MAX(Parameters!$B$13,H10*Parameters!$B$12)</f>
        <v>300</v>
      </c>
      <c r="J11" s="19">
        <f>D11*Parameters!$B$20</f>
        <v>160</v>
      </c>
      <c r="K11" s="19">
        <f>IF(D11&lt;=100,Parameters!$B$6,IF(D11&lt;=500,Parameters!$B$7,IF(D11&lt;=2000,Parameters!$B$8,IF(D11&lt;=10000,Parameters!$B$9,Parameters!$B$10))))</f>
        <v>1000</v>
      </c>
      <c r="L11" s="19">
        <f t="shared" si="0"/>
        <v>1460</v>
      </c>
      <c r="M11" s="19">
        <f t="shared" si="1"/>
        <v>140</v>
      </c>
      <c r="N11" s="19">
        <f t="shared" si="2"/>
        <v>-1160</v>
      </c>
      <c r="O11" s="19">
        <f t="shared" si="7"/>
        <v>-15118</v>
      </c>
      <c r="P11" s="20">
        <f t="shared" si="3"/>
        <v>0.46666666666666667</v>
      </c>
      <c r="Q11" s="20">
        <f t="shared" si="4"/>
        <v>-3.8666666666666667</v>
      </c>
      <c r="R11" s="21">
        <f>Parameters!$B$22</f>
        <v>15</v>
      </c>
      <c r="S11" s="21">
        <f>Parameters!$B$20</f>
        <v>8</v>
      </c>
      <c r="T11" s="21">
        <f>Parameters!$B$14</f>
        <v>90</v>
      </c>
      <c r="U11" s="19">
        <f>IF(Parameters!$B$17&lt;&gt;0,(Parameters!$B$22-Parameters!$B$20)/Parameters!$B$17,0)</f>
        <v>77.777777777777786</v>
      </c>
      <c r="V11" s="22">
        <f>IF((Parameters!$B$22-Parameters!$B$20)&gt;0,Parameters!$B$14/(Parameters!$B$22-Parameters!$B$20),999)</f>
        <v>12.857142857142858</v>
      </c>
      <c r="W11" s="23">
        <f>IF(Parameters!$B$14&lt;&gt;0,IF(Parameters!$B$17&lt;&gt;0,(Parameters!$B$22-Parameters!$B$20)/(Parameters!$B$17*Parameters!$B$14),0),0)</f>
        <v>0.86419753086419759</v>
      </c>
      <c r="X11" s="24">
        <f t="shared" si="5"/>
        <v>0</v>
      </c>
    </row>
    <row r="12" spans="1:24" ht="15" customHeight="1" x14ac:dyDescent="0.3">
      <c r="A12" s="16">
        <v>11</v>
      </c>
      <c r="B12" s="17" t="s">
        <v>79</v>
      </c>
      <c r="C12" s="17" t="s">
        <v>2</v>
      </c>
      <c r="D12" s="18">
        <f t="shared" si="6"/>
        <v>21</v>
      </c>
      <c r="E12" s="18">
        <f>ROUND(I12/Parameters!$B$14,0)</f>
        <v>3</v>
      </c>
      <c r="F12" s="18">
        <f>ROUND(D11*Parameters!$B$16,0)</f>
        <v>0</v>
      </c>
      <c r="G12" s="18">
        <f>ROUND(D11*Parameters!$B$17,0)</f>
        <v>2</v>
      </c>
      <c r="H12" s="19">
        <f>D12*Parameters!$B$22</f>
        <v>315</v>
      </c>
      <c r="I12" s="19">
        <f>MAX(Parameters!$B$13,H11*Parameters!$B$12)</f>
        <v>300</v>
      </c>
      <c r="J12" s="19">
        <f>D12*Parameters!$B$20</f>
        <v>168</v>
      </c>
      <c r="K12" s="19">
        <f>IF(D12&lt;=100,Parameters!$B$6,IF(D12&lt;=500,Parameters!$B$7,IF(D12&lt;=2000,Parameters!$B$8,IF(D12&lt;=10000,Parameters!$B$9,Parameters!$B$10))))</f>
        <v>1000</v>
      </c>
      <c r="L12" s="19">
        <f t="shared" si="0"/>
        <v>1468</v>
      </c>
      <c r="M12" s="19">
        <f t="shared" si="1"/>
        <v>147</v>
      </c>
      <c r="N12" s="19">
        <f t="shared" si="2"/>
        <v>-1153</v>
      </c>
      <c r="O12" s="19">
        <f t="shared" si="7"/>
        <v>-16271</v>
      </c>
      <c r="P12" s="20">
        <f t="shared" si="3"/>
        <v>0.46666666666666667</v>
      </c>
      <c r="Q12" s="20">
        <f t="shared" si="4"/>
        <v>-3.6603174603174602</v>
      </c>
      <c r="R12" s="21">
        <f>Parameters!$B$22</f>
        <v>15</v>
      </c>
      <c r="S12" s="21">
        <f>Parameters!$B$20</f>
        <v>8</v>
      </c>
      <c r="T12" s="21">
        <f>Parameters!$B$14</f>
        <v>90</v>
      </c>
      <c r="U12" s="19">
        <f>IF(Parameters!$B$17&lt;&gt;0,(Parameters!$B$22-Parameters!$B$20)/Parameters!$B$17,0)</f>
        <v>77.777777777777786</v>
      </c>
      <c r="V12" s="22">
        <f>IF((Parameters!$B$22-Parameters!$B$20)&gt;0,Parameters!$B$14/(Parameters!$B$22-Parameters!$B$20),999)</f>
        <v>12.857142857142858</v>
      </c>
      <c r="W12" s="23">
        <f>IF(Parameters!$B$14&lt;&gt;0,IF(Parameters!$B$17&lt;&gt;0,(Parameters!$B$22-Parameters!$B$20)/(Parameters!$B$17*Parameters!$B$14),0),0)</f>
        <v>0.86419753086419759</v>
      </c>
      <c r="X12" s="24">
        <f t="shared" si="5"/>
        <v>0</v>
      </c>
    </row>
    <row r="13" spans="1:24" ht="15" customHeight="1" x14ac:dyDescent="0.3">
      <c r="A13" s="16">
        <v>12</v>
      </c>
      <c r="B13" s="17" t="s">
        <v>80</v>
      </c>
      <c r="C13" s="17" t="s">
        <v>2</v>
      </c>
      <c r="D13" s="18">
        <f t="shared" si="6"/>
        <v>22</v>
      </c>
      <c r="E13" s="18">
        <f>ROUND(I13/Parameters!$B$14,0)</f>
        <v>3</v>
      </c>
      <c r="F13" s="18">
        <f>ROUND(D12*Parameters!$B$16,0)</f>
        <v>0</v>
      </c>
      <c r="G13" s="18">
        <f>ROUND(D12*Parameters!$B$17,0)</f>
        <v>2</v>
      </c>
      <c r="H13" s="19">
        <f>D13*Parameters!$B$22</f>
        <v>330</v>
      </c>
      <c r="I13" s="19">
        <f>MAX(Parameters!$B$13,H12*Parameters!$B$12)</f>
        <v>300</v>
      </c>
      <c r="J13" s="19">
        <f>D13*Parameters!$B$20</f>
        <v>176</v>
      </c>
      <c r="K13" s="19">
        <f>IF(D13&lt;=100,Parameters!$B$6,IF(D13&lt;=500,Parameters!$B$7,IF(D13&lt;=2000,Parameters!$B$8,IF(D13&lt;=10000,Parameters!$B$9,Parameters!$B$10))))</f>
        <v>1000</v>
      </c>
      <c r="L13" s="19">
        <f t="shared" si="0"/>
        <v>1476</v>
      </c>
      <c r="M13" s="19">
        <f t="shared" si="1"/>
        <v>154</v>
      </c>
      <c r="N13" s="19">
        <f t="shared" si="2"/>
        <v>-1146</v>
      </c>
      <c r="O13" s="19">
        <f t="shared" si="7"/>
        <v>-17417</v>
      </c>
      <c r="P13" s="20">
        <f t="shared" si="3"/>
        <v>0.46666666666666667</v>
      </c>
      <c r="Q13" s="20">
        <f t="shared" si="4"/>
        <v>-3.4727272727272727</v>
      </c>
      <c r="R13" s="21">
        <f>Parameters!$B$22</f>
        <v>15</v>
      </c>
      <c r="S13" s="21">
        <f>Parameters!$B$20</f>
        <v>8</v>
      </c>
      <c r="T13" s="21">
        <f>Parameters!$B$14</f>
        <v>90</v>
      </c>
      <c r="U13" s="19">
        <f>IF(Parameters!$B$17&lt;&gt;0,(Parameters!$B$22-Parameters!$B$20)/Parameters!$B$17,0)</f>
        <v>77.777777777777786</v>
      </c>
      <c r="V13" s="22">
        <f>IF((Parameters!$B$22-Parameters!$B$20)&gt;0,Parameters!$B$14/(Parameters!$B$22-Parameters!$B$20),999)</f>
        <v>12.857142857142858</v>
      </c>
      <c r="W13" s="23">
        <f>IF(Parameters!$B$14&lt;&gt;0,IF(Parameters!$B$17&lt;&gt;0,(Parameters!$B$22-Parameters!$B$20)/(Parameters!$B$17*Parameters!$B$14),0),0)</f>
        <v>0.86419753086419759</v>
      </c>
      <c r="X13" s="24">
        <f t="shared" si="5"/>
        <v>0</v>
      </c>
    </row>
    <row r="14" spans="1:24" ht="15" customHeight="1" x14ac:dyDescent="0.3">
      <c r="A14" s="16">
        <v>13</v>
      </c>
      <c r="B14" s="17" t="s">
        <v>81</v>
      </c>
      <c r="C14" s="17" t="s">
        <v>2</v>
      </c>
      <c r="D14" s="18">
        <f t="shared" si="6"/>
        <v>23</v>
      </c>
      <c r="E14" s="18">
        <f>ROUND(I14/Parameters!$B$14,0)</f>
        <v>3</v>
      </c>
      <c r="F14" s="18">
        <f>ROUND(D13*Parameters!$B$16,0)</f>
        <v>0</v>
      </c>
      <c r="G14" s="18">
        <f>ROUND(D13*Parameters!$B$17,0)</f>
        <v>2</v>
      </c>
      <c r="H14" s="19">
        <f>D14*Parameters!$B$22</f>
        <v>345</v>
      </c>
      <c r="I14" s="19">
        <f>MAX(Parameters!$B$13,H13*Parameters!$B$12)</f>
        <v>300</v>
      </c>
      <c r="J14" s="19">
        <f>D14*Parameters!$B$20</f>
        <v>184</v>
      </c>
      <c r="K14" s="19">
        <f>IF(D14&lt;=100,Parameters!$B$6,IF(D14&lt;=500,Parameters!$B$7,IF(D14&lt;=2000,Parameters!$B$8,IF(D14&lt;=10000,Parameters!$B$9,Parameters!$B$10))))</f>
        <v>1000</v>
      </c>
      <c r="L14" s="19">
        <f t="shared" si="0"/>
        <v>1484</v>
      </c>
      <c r="M14" s="19">
        <f t="shared" si="1"/>
        <v>161</v>
      </c>
      <c r="N14" s="19">
        <f t="shared" si="2"/>
        <v>-1139</v>
      </c>
      <c r="O14" s="19">
        <f t="shared" si="7"/>
        <v>-18556</v>
      </c>
      <c r="P14" s="20">
        <f t="shared" si="3"/>
        <v>0.46666666666666667</v>
      </c>
      <c r="Q14" s="20">
        <f t="shared" si="4"/>
        <v>-3.301449275362319</v>
      </c>
      <c r="R14" s="21">
        <f>Parameters!$B$22</f>
        <v>15</v>
      </c>
      <c r="S14" s="21">
        <f>Parameters!$B$20</f>
        <v>8</v>
      </c>
      <c r="T14" s="21">
        <f>Parameters!$B$14</f>
        <v>90</v>
      </c>
      <c r="U14" s="19">
        <f>IF(Parameters!$B$17&lt;&gt;0,(Parameters!$B$22-Parameters!$B$20)/Parameters!$B$17,0)</f>
        <v>77.777777777777786</v>
      </c>
      <c r="V14" s="22">
        <f>IF((Parameters!$B$22-Parameters!$B$20)&gt;0,Parameters!$B$14/(Parameters!$B$22-Parameters!$B$20),999)</f>
        <v>12.857142857142858</v>
      </c>
      <c r="W14" s="23">
        <f>IF(Parameters!$B$14&lt;&gt;0,IF(Parameters!$B$17&lt;&gt;0,(Parameters!$B$22-Parameters!$B$20)/(Parameters!$B$17*Parameters!$B$14),0),0)</f>
        <v>0.86419753086419759</v>
      </c>
      <c r="X14" s="24">
        <f t="shared" si="5"/>
        <v>0</v>
      </c>
    </row>
    <row r="15" spans="1:24" ht="15" customHeight="1" x14ac:dyDescent="0.3">
      <c r="A15" s="16">
        <v>14</v>
      </c>
      <c r="B15" s="17" t="s">
        <v>82</v>
      </c>
      <c r="C15" s="17" t="s">
        <v>2</v>
      </c>
      <c r="D15" s="18">
        <f t="shared" si="6"/>
        <v>24</v>
      </c>
      <c r="E15" s="18">
        <f>ROUND(I15/Parameters!$B$14,0)</f>
        <v>3</v>
      </c>
      <c r="F15" s="18">
        <f>ROUND(D14*Parameters!$B$16,0)</f>
        <v>0</v>
      </c>
      <c r="G15" s="18">
        <f>ROUND(D14*Parameters!$B$17,0)</f>
        <v>2</v>
      </c>
      <c r="H15" s="19">
        <f>D15*Parameters!$B$22</f>
        <v>360</v>
      </c>
      <c r="I15" s="19">
        <f>MAX(Parameters!$B$13,H14*Parameters!$B$12)</f>
        <v>300</v>
      </c>
      <c r="J15" s="19">
        <f>D15*Parameters!$B$20</f>
        <v>192</v>
      </c>
      <c r="K15" s="19">
        <f>IF(D15&lt;=100,Parameters!$B$6,IF(D15&lt;=500,Parameters!$B$7,IF(D15&lt;=2000,Parameters!$B$8,IF(D15&lt;=10000,Parameters!$B$9,Parameters!$B$10))))</f>
        <v>1000</v>
      </c>
      <c r="L15" s="19">
        <f t="shared" si="0"/>
        <v>1492</v>
      </c>
      <c r="M15" s="19">
        <f t="shared" si="1"/>
        <v>168</v>
      </c>
      <c r="N15" s="19">
        <f t="shared" si="2"/>
        <v>-1132</v>
      </c>
      <c r="O15" s="19">
        <f t="shared" si="7"/>
        <v>-19688</v>
      </c>
      <c r="P15" s="20">
        <f t="shared" si="3"/>
        <v>0.46666666666666667</v>
      </c>
      <c r="Q15" s="20">
        <f t="shared" si="4"/>
        <v>-3.1444444444444444</v>
      </c>
      <c r="R15" s="21">
        <f>Parameters!$B$22</f>
        <v>15</v>
      </c>
      <c r="S15" s="21">
        <f>Parameters!$B$20</f>
        <v>8</v>
      </c>
      <c r="T15" s="21">
        <f>Parameters!$B$14</f>
        <v>90</v>
      </c>
      <c r="U15" s="19">
        <f>IF(Parameters!$B$17&lt;&gt;0,(Parameters!$B$22-Parameters!$B$20)/Parameters!$B$17,0)</f>
        <v>77.777777777777786</v>
      </c>
      <c r="V15" s="22">
        <f>IF((Parameters!$B$22-Parameters!$B$20)&gt;0,Parameters!$B$14/(Parameters!$B$22-Parameters!$B$20),999)</f>
        <v>12.857142857142858</v>
      </c>
      <c r="W15" s="23">
        <f>IF(Parameters!$B$14&lt;&gt;0,IF(Parameters!$B$17&lt;&gt;0,(Parameters!$B$22-Parameters!$B$20)/(Parameters!$B$17*Parameters!$B$14),0),0)</f>
        <v>0.86419753086419759</v>
      </c>
      <c r="X15" s="24">
        <f t="shared" si="5"/>
        <v>0</v>
      </c>
    </row>
    <row r="16" spans="1:24" ht="15" customHeight="1" x14ac:dyDescent="0.3">
      <c r="A16" s="16">
        <v>15</v>
      </c>
      <c r="B16" s="17" t="s">
        <v>83</v>
      </c>
      <c r="C16" s="17" t="s">
        <v>2</v>
      </c>
      <c r="D16" s="18">
        <f t="shared" si="6"/>
        <v>25</v>
      </c>
      <c r="E16" s="18">
        <f>ROUND(I16/Parameters!$B$14,0)</f>
        <v>3</v>
      </c>
      <c r="F16" s="18">
        <f>ROUND(D15*Parameters!$B$16,0)</f>
        <v>0</v>
      </c>
      <c r="G16" s="18">
        <f>ROUND(D15*Parameters!$B$17,0)</f>
        <v>2</v>
      </c>
      <c r="H16" s="19">
        <f>D16*Parameters!$B$22</f>
        <v>375</v>
      </c>
      <c r="I16" s="19">
        <f>MAX(Parameters!$B$13,H15*Parameters!$B$12)</f>
        <v>300</v>
      </c>
      <c r="J16" s="19">
        <f>D16*Parameters!$B$20</f>
        <v>200</v>
      </c>
      <c r="K16" s="19">
        <f>IF(D16&lt;=100,Parameters!$B$6,IF(D16&lt;=500,Parameters!$B$7,IF(D16&lt;=2000,Parameters!$B$8,IF(D16&lt;=10000,Parameters!$B$9,Parameters!$B$10))))</f>
        <v>1000</v>
      </c>
      <c r="L16" s="19">
        <f t="shared" si="0"/>
        <v>1500</v>
      </c>
      <c r="M16" s="19">
        <f t="shared" si="1"/>
        <v>175</v>
      </c>
      <c r="N16" s="19">
        <f t="shared" si="2"/>
        <v>-1125</v>
      </c>
      <c r="O16" s="19">
        <f t="shared" si="7"/>
        <v>-20813</v>
      </c>
      <c r="P16" s="20">
        <f t="shared" si="3"/>
        <v>0.46666666666666667</v>
      </c>
      <c r="Q16" s="20">
        <f t="shared" si="4"/>
        <v>-3</v>
      </c>
      <c r="R16" s="21">
        <f>Parameters!$B$22</f>
        <v>15</v>
      </c>
      <c r="S16" s="21">
        <f>Parameters!$B$20</f>
        <v>8</v>
      </c>
      <c r="T16" s="21">
        <f>Parameters!$B$14</f>
        <v>90</v>
      </c>
      <c r="U16" s="19">
        <f>IF(Parameters!$B$17&lt;&gt;0,(Parameters!$B$22-Parameters!$B$20)/Parameters!$B$17,0)</f>
        <v>77.777777777777786</v>
      </c>
      <c r="V16" s="22">
        <f>IF((Parameters!$B$22-Parameters!$B$20)&gt;0,Parameters!$B$14/(Parameters!$B$22-Parameters!$B$20),999)</f>
        <v>12.857142857142858</v>
      </c>
      <c r="W16" s="23">
        <f>IF(Parameters!$B$14&lt;&gt;0,IF(Parameters!$B$17&lt;&gt;0,(Parameters!$B$22-Parameters!$B$20)/(Parameters!$B$17*Parameters!$B$14),0),0)</f>
        <v>0.86419753086419759</v>
      </c>
      <c r="X16" s="24">
        <f t="shared" si="5"/>
        <v>0</v>
      </c>
    </row>
    <row r="17" spans="1:24" ht="15" customHeight="1" x14ac:dyDescent="0.3">
      <c r="A17" s="16">
        <v>16</v>
      </c>
      <c r="B17" s="17" t="s">
        <v>84</v>
      </c>
      <c r="C17" s="17" t="s">
        <v>2</v>
      </c>
      <c r="D17" s="18">
        <f t="shared" si="6"/>
        <v>26</v>
      </c>
      <c r="E17" s="18">
        <f>ROUND(I17/Parameters!$B$14,0)</f>
        <v>3</v>
      </c>
      <c r="F17" s="18">
        <f>ROUND(D16*Parameters!$B$16,0)</f>
        <v>0</v>
      </c>
      <c r="G17" s="18">
        <f>ROUND(D16*Parameters!$B$17,0)</f>
        <v>2</v>
      </c>
      <c r="H17" s="19">
        <f>D17*Parameters!$B$22</f>
        <v>390</v>
      </c>
      <c r="I17" s="19">
        <f>MAX(Parameters!$B$13,H16*Parameters!$B$12)</f>
        <v>300</v>
      </c>
      <c r="J17" s="19">
        <f>D17*Parameters!$B$20</f>
        <v>208</v>
      </c>
      <c r="K17" s="19">
        <f>IF(D17&lt;=100,Parameters!$B$6,IF(D17&lt;=500,Parameters!$B$7,IF(D17&lt;=2000,Parameters!$B$8,IF(D17&lt;=10000,Parameters!$B$9,Parameters!$B$10))))</f>
        <v>1000</v>
      </c>
      <c r="L17" s="19">
        <f t="shared" si="0"/>
        <v>1508</v>
      </c>
      <c r="M17" s="19">
        <f t="shared" si="1"/>
        <v>182</v>
      </c>
      <c r="N17" s="19">
        <f t="shared" si="2"/>
        <v>-1118</v>
      </c>
      <c r="O17" s="19">
        <f t="shared" si="7"/>
        <v>-21931</v>
      </c>
      <c r="P17" s="20">
        <f t="shared" si="3"/>
        <v>0.46666666666666667</v>
      </c>
      <c r="Q17" s="20">
        <f t="shared" si="4"/>
        <v>-2.8666666666666667</v>
      </c>
      <c r="R17" s="21">
        <f>Parameters!$B$22</f>
        <v>15</v>
      </c>
      <c r="S17" s="21">
        <f>Parameters!$B$20</f>
        <v>8</v>
      </c>
      <c r="T17" s="21">
        <f>Parameters!$B$14</f>
        <v>90</v>
      </c>
      <c r="U17" s="19">
        <f>IF(Parameters!$B$17&lt;&gt;0,(Parameters!$B$22-Parameters!$B$20)/Parameters!$B$17,0)</f>
        <v>77.777777777777786</v>
      </c>
      <c r="V17" s="22">
        <f>IF((Parameters!$B$22-Parameters!$B$20)&gt;0,Parameters!$B$14/(Parameters!$B$22-Parameters!$B$20),999)</f>
        <v>12.857142857142858</v>
      </c>
      <c r="W17" s="23">
        <f>IF(Parameters!$B$14&lt;&gt;0,IF(Parameters!$B$17&lt;&gt;0,(Parameters!$B$22-Parameters!$B$20)/(Parameters!$B$17*Parameters!$B$14),0),0)</f>
        <v>0.86419753086419759</v>
      </c>
      <c r="X17" s="24">
        <f t="shared" si="5"/>
        <v>0</v>
      </c>
    </row>
    <row r="18" spans="1:24" ht="15" customHeight="1" x14ac:dyDescent="0.3">
      <c r="A18" s="16">
        <v>17</v>
      </c>
      <c r="B18" s="17" t="s">
        <v>85</v>
      </c>
      <c r="C18" s="17" t="s">
        <v>2</v>
      </c>
      <c r="D18" s="18">
        <f t="shared" si="6"/>
        <v>27</v>
      </c>
      <c r="E18" s="18">
        <f>ROUND(I18/Parameters!$B$14,0)</f>
        <v>3</v>
      </c>
      <c r="F18" s="18">
        <f>ROUND(D17*Parameters!$B$16,0)</f>
        <v>0</v>
      </c>
      <c r="G18" s="18">
        <f>ROUND(D17*Parameters!$B$17,0)</f>
        <v>2</v>
      </c>
      <c r="H18" s="19">
        <f>D18*Parameters!$B$22</f>
        <v>405</v>
      </c>
      <c r="I18" s="19">
        <f>MAX(Parameters!$B$13,H17*Parameters!$B$12)</f>
        <v>300</v>
      </c>
      <c r="J18" s="19">
        <f>D18*Parameters!$B$20</f>
        <v>216</v>
      </c>
      <c r="K18" s="19">
        <f>IF(D18&lt;=100,Parameters!$B$6,IF(D18&lt;=500,Parameters!$B$7,IF(D18&lt;=2000,Parameters!$B$8,IF(D18&lt;=10000,Parameters!$B$9,Parameters!$B$10))))</f>
        <v>1000</v>
      </c>
      <c r="L18" s="19">
        <f t="shared" si="0"/>
        <v>1516</v>
      </c>
      <c r="M18" s="19">
        <f t="shared" si="1"/>
        <v>189</v>
      </c>
      <c r="N18" s="19">
        <f t="shared" si="2"/>
        <v>-1111</v>
      </c>
      <c r="O18" s="19">
        <f t="shared" si="7"/>
        <v>-23042</v>
      </c>
      <c r="P18" s="20">
        <f t="shared" si="3"/>
        <v>0.46666666666666667</v>
      </c>
      <c r="Q18" s="20">
        <f t="shared" si="4"/>
        <v>-2.7432098765432098</v>
      </c>
      <c r="R18" s="21">
        <f>Parameters!$B$22</f>
        <v>15</v>
      </c>
      <c r="S18" s="21">
        <f>Parameters!$B$20</f>
        <v>8</v>
      </c>
      <c r="T18" s="21">
        <f>Parameters!$B$14</f>
        <v>90</v>
      </c>
      <c r="U18" s="19">
        <f>IF(Parameters!$B$17&lt;&gt;0,(Parameters!$B$22-Parameters!$B$20)/Parameters!$B$17,0)</f>
        <v>77.777777777777786</v>
      </c>
      <c r="V18" s="22">
        <f>IF((Parameters!$B$22-Parameters!$B$20)&gt;0,Parameters!$B$14/(Parameters!$B$22-Parameters!$B$20),999)</f>
        <v>12.857142857142858</v>
      </c>
      <c r="W18" s="23">
        <f>IF(Parameters!$B$14&lt;&gt;0,IF(Parameters!$B$17&lt;&gt;0,(Parameters!$B$22-Parameters!$B$20)/(Parameters!$B$17*Parameters!$B$14),0),0)</f>
        <v>0.86419753086419759</v>
      </c>
      <c r="X18" s="24">
        <f t="shared" si="5"/>
        <v>0</v>
      </c>
    </row>
    <row r="19" spans="1:24" ht="15" customHeight="1" x14ac:dyDescent="0.3">
      <c r="A19" s="16">
        <v>18</v>
      </c>
      <c r="B19" s="17" t="s">
        <v>86</v>
      </c>
      <c r="C19" s="17" t="s">
        <v>2</v>
      </c>
      <c r="D19" s="18">
        <f t="shared" si="6"/>
        <v>28</v>
      </c>
      <c r="E19" s="18">
        <f>ROUND(I19/Parameters!$B$14,0)</f>
        <v>3</v>
      </c>
      <c r="F19" s="18">
        <f>ROUND(D18*Parameters!$B$16,0)</f>
        <v>0</v>
      </c>
      <c r="G19" s="18">
        <f>ROUND(D18*Parameters!$B$17,0)</f>
        <v>2</v>
      </c>
      <c r="H19" s="19">
        <f>D19*Parameters!$B$22</f>
        <v>420</v>
      </c>
      <c r="I19" s="19">
        <f>MAX(Parameters!$B$13,H18*Parameters!$B$12)</f>
        <v>300</v>
      </c>
      <c r="J19" s="19">
        <f>D19*Parameters!$B$20</f>
        <v>224</v>
      </c>
      <c r="K19" s="19">
        <f>IF(D19&lt;=100,Parameters!$B$6,IF(D19&lt;=500,Parameters!$B$7,IF(D19&lt;=2000,Parameters!$B$8,IF(D19&lt;=10000,Parameters!$B$9,Parameters!$B$10))))</f>
        <v>1000</v>
      </c>
      <c r="L19" s="19">
        <f t="shared" si="0"/>
        <v>1524</v>
      </c>
      <c r="M19" s="19">
        <f t="shared" si="1"/>
        <v>196</v>
      </c>
      <c r="N19" s="19">
        <f t="shared" si="2"/>
        <v>-1104</v>
      </c>
      <c r="O19" s="19">
        <f t="shared" si="7"/>
        <v>-24146</v>
      </c>
      <c r="P19" s="20">
        <f t="shared" si="3"/>
        <v>0.46666666666666667</v>
      </c>
      <c r="Q19" s="20">
        <f t="shared" si="4"/>
        <v>-2.6285714285714286</v>
      </c>
      <c r="R19" s="21">
        <f>Parameters!$B$22</f>
        <v>15</v>
      </c>
      <c r="S19" s="21">
        <f>Parameters!$B$20</f>
        <v>8</v>
      </c>
      <c r="T19" s="21">
        <f>Parameters!$B$14</f>
        <v>90</v>
      </c>
      <c r="U19" s="19">
        <f>IF(Parameters!$B$17&lt;&gt;0,(Parameters!$B$22-Parameters!$B$20)/Parameters!$B$17,0)</f>
        <v>77.777777777777786</v>
      </c>
      <c r="V19" s="22">
        <f>IF((Parameters!$B$22-Parameters!$B$20)&gt;0,Parameters!$B$14/(Parameters!$B$22-Parameters!$B$20),999)</f>
        <v>12.857142857142858</v>
      </c>
      <c r="W19" s="23">
        <f>IF(Parameters!$B$14&lt;&gt;0,IF(Parameters!$B$17&lt;&gt;0,(Parameters!$B$22-Parameters!$B$20)/(Parameters!$B$17*Parameters!$B$14),0),0)</f>
        <v>0.86419753086419759</v>
      </c>
      <c r="X19" s="24">
        <f t="shared" si="5"/>
        <v>0</v>
      </c>
    </row>
    <row r="20" spans="1:24" ht="15" customHeight="1" x14ac:dyDescent="0.3">
      <c r="A20" s="16">
        <v>19</v>
      </c>
      <c r="B20" s="17" t="s">
        <v>87</v>
      </c>
      <c r="C20" s="17" t="s">
        <v>2</v>
      </c>
      <c r="D20" s="18">
        <f t="shared" si="6"/>
        <v>28</v>
      </c>
      <c r="E20" s="18">
        <f>ROUND(I20/Parameters!$B$14,0)</f>
        <v>3</v>
      </c>
      <c r="F20" s="18">
        <f>ROUND(D19*Parameters!$B$16,0)</f>
        <v>0</v>
      </c>
      <c r="G20" s="18">
        <f>ROUND(D19*Parameters!$B$17,0)</f>
        <v>3</v>
      </c>
      <c r="H20" s="19">
        <f>D20*Parameters!$B$22</f>
        <v>420</v>
      </c>
      <c r="I20" s="19">
        <f>MAX(Parameters!$B$13,H19*Parameters!$B$12)</f>
        <v>300</v>
      </c>
      <c r="J20" s="19">
        <f>D20*Parameters!$B$20</f>
        <v>224</v>
      </c>
      <c r="K20" s="19">
        <f>IF(D20&lt;=100,Parameters!$B$6,IF(D20&lt;=500,Parameters!$B$7,IF(D20&lt;=2000,Parameters!$B$8,IF(D20&lt;=10000,Parameters!$B$9,Parameters!$B$10))))</f>
        <v>1000</v>
      </c>
      <c r="L20" s="19">
        <f t="shared" si="0"/>
        <v>1524</v>
      </c>
      <c r="M20" s="19">
        <f t="shared" si="1"/>
        <v>196</v>
      </c>
      <c r="N20" s="19">
        <f t="shared" si="2"/>
        <v>-1104</v>
      </c>
      <c r="O20" s="19">
        <f t="shared" si="7"/>
        <v>-25250</v>
      </c>
      <c r="P20" s="20">
        <f t="shared" si="3"/>
        <v>0.46666666666666667</v>
      </c>
      <c r="Q20" s="20">
        <f t="shared" si="4"/>
        <v>-2.6285714285714286</v>
      </c>
      <c r="R20" s="21">
        <f>Parameters!$B$22</f>
        <v>15</v>
      </c>
      <c r="S20" s="21">
        <f>Parameters!$B$20</f>
        <v>8</v>
      </c>
      <c r="T20" s="21">
        <f>Parameters!$B$14</f>
        <v>90</v>
      </c>
      <c r="U20" s="19">
        <f>IF(Parameters!$B$17&lt;&gt;0,(Parameters!$B$22-Parameters!$B$20)/Parameters!$B$17,0)</f>
        <v>77.777777777777786</v>
      </c>
      <c r="V20" s="22">
        <f>IF((Parameters!$B$22-Parameters!$B$20)&gt;0,Parameters!$B$14/(Parameters!$B$22-Parameters!$B$20),999)</f>
        <v>12.857142857142858</v>
      </c>
      <c r="W20" s="23">
        <f>IF(Parameters!$B$14&lt;&gt;0,IF(Parameters!$B$17&lt;&gt;0,(Parameters!$B$22-Parameters!$B$20)/(Parameters!$B$17*Parameters!$B$14),0),0)</f>
        <v>0.86419753086419759</v>
      </c>
      <c r="X20" s="24">
        <f t="shared" si="5"/>
        <v>0</v>
      </c>
    </row>
    <row r="21" spans="1:24" ht="15" customHeight="1" x14ac:dyDescent="0.3">
      <c r="A21" s="16">
        <v>20</v>
      </c>
      <c r="B21" s="17" t="s">
        <v>88</v>
      </c>
      <c r="C21" s="17" t="s">
        <v>2</v>
      </c>
      <c r="D21" s="18">
        <f t="shared" si="6"/>
        <v>28</v>
      </c>
      <c r="E21" s="18">
        <f>ROUND(I21/Parameters!$B$14,0)</f>
        <v>3</v>
      </c>
      <c r="F21" s="18">
        <f>ROUND(D20*Parameters!$B$16,0)</f>
        <v>0</v>
      </c>
      <c r="G21" s="18">
        <f>ROUND(D20*Parameters!$B$17,0)</f>
        <v>3</v>
      </c>
      <c r="H21" s="19">
        <f>D21*Parameters!$B$22</f>
        <v>420</v>
      </c>
      <c r="I21" s="19">
        <f>MAX(Parameters!$B$13,H20*Parameters!$B$12)</f>
        <v>300</v>
      </c>
      <c r="J21" s="19">
        <f>D21*Parameters!$B$20</f>
        <v>224</v>
      </c>
      <c r="K21" s="19">
        <f>IF(D21&lt;=100,Parameters!$B$6,IF(D21&lt;=500,Parameters!$B$7,IF(D21&lt;=2000,Parameters!$B$8,IF(D21&lt;=10000,Parameters!$B$9,Parameters!$B$10))))</f>
        <v>1000</v>
      </c>
      <c r="L21" s="19">
        <f t="shared" si="0"/>
        <v>1524</v>
      </c>
      <c r="M21" s="19">
        <f t="shared" si="1"/>
        <v>196</v>
      </c>
      <c r="N21" s="19">
        <f t="shared" si="2"/>
        <v>-1104</v>
      </c>
      <c r="O21" s="19">
        <f t="shared" si="7"/>
        <v>-26354</v>
      </c>
      <c r="P21" s="20">
        <f t="shared" si="3"/>
        <v>0.46666666666666667</v>
      </c>
      <c r="Q21" s="20">
        <f t="shared" si="4"/>
        <v>-2.6285714285714286</v>
      </c>
      <c r="R21" s="21">
        <f>Parameters!$B$22</f>
        <v>15</v>
      </c>
      <c r="S21" s="21">
        <f>Parameters!$B$20</f>
        <v>8</v>
      </c>
      <c r="T21" s="21">
        <f>Parameters!$B$14</f>
        <v>90</v>
      </c>
      <c r="U21" s="19">
        <f>IF(Parameters!$B$17&lt;&gt;0,(Parameters!$B$22-Parameters!$B$20)/Parameters!$B$17,0)</f>
        <v>77.777777777777786</v>
      </c>
      <c r="V21" s="22">
        <f>IF((Parameters!$B$22-Parameters!$B$20)&gt;0,Parameters!$B$14/(Parameters!$B$22-Parameters!$B$20),999)</f>
        <v>12.857142857142858</v>
      </c>
      <c r="W21" s="23">
        <f>IF(Parameters!$B$14&lt;&gt;0,IF(Parameters!$B$17&lt;&gt;0,(Parameters!$B$22-Parameters!$B$20)/(Parameters!$B$17*Parameters!$B$14),0),0)</f>
        <v>0.86419753086419759</v>
      </c>
      <c r="X21" s="24">
        <f t="shared" si="5"/>
        <v>0</v>
      </c>
    </row>
    <row r="22" spans="1:24" ht="15" customHeight="1" x14ac:dyDescent="0.3">
      <c r="A22" s="16">
        <v>21</v>
      </c>
      <c r="B22" s="17" t="s">
        <v>89</v>
      </c>
      <c r="C22" s="17" t="s">
        <v>2</v>
      </c>
      <c r="D22" s="18">
        <f t="shared" si="6"/>
        <v>28</v>
      </c>
      <c r="E22" s="18">
        <f>ROUND(I22/Parameters!$B$14,0)</f>
        <v>3</v>
      </c>
      <c r="F22" s="18">
        <f>ROUND(D21*Parameters!$B$16,0)</f>
        <v>0</v>
      </c>
      <c r="G22" s="18">
        <f>ROUND(D21*Parameters!$B$17,0)</f>
        <v>3</v>
      </c>
      <c r="H22" s="19">
        <f>D22*Parameters!$B$22</f>
        <v>420</v>
      </c>
      <c r="I22" s="19">
        <f>MAX(Parameters!$B$13,H21*Parameters!$B$12)</f>
        <v>300</v>
      </c>
      <c r="J22" s="19">
        <f>D22*Parameters!$B$20</f>
        <v>224</v>
      </c>
      <c r="K22" s="19">
        <f>IF(D22&lt;=100,Parameters!$B$6,IF(D22&lt;=500,Parameters!$B$7,IF(D22&lt;=2000,Parameters!$B$8,IF(D22&lt;=10000,Parameters!$B$9,Parameters!$B$10))))</f>
        <v>1000</v>
      </c>
      <c r="L22" s="19">
        <f t="shared" si="0"/>
        <v>1524</v>
      </c>
      <c r="M22" s="19">
        <f t="shared" si="1"/>
        <v>196</v>
      </c>
      <c r="N22" s="19">
        <f t="shared" si="2"/>
        <v>-1104</v>
      </c>
      <c r="O22" s="19">
        <f t="shared" si="7"/>
        <v>-27458</v>
      </c>
      <c r="P22" s="20">
        <f t="shared" si="3"/>
        <v>0.46666666666666667</v>
      </c>
      <c r="Q22" s="20">
        <f t="shared" si="4"/>
        <v>-2.6285714285714286</v>
      </c>
      <c r="R22" s="21">
        <f>Parameters!$B$22</f>
        <v>15</v>
      </c>
      <c r="S22" s="21">
        <f>Parameters!$B$20</f>
        <v>8</v>
      </c>
      <c r="T22" s="21">
        <f>Parameters!$B$14</f>
        <v>90</v>
      </c>
      <c r="U22" s="19">
        <f>IF(Parameters!$B$17&lt;&gt;0,(Parameters!$B$22-Parameters!$B$20)/Parameters!$B$17,0)</f>
        <v>77.777777777777786</v>
      </c>
      <c r="V22" s="22">
        <f>IF((Parameters!$B$22-Parameters!$B$20)&gt;0,Parameters!$B$14/(Parameters!$B$22-Parameters!$B$20),999)</f>
        <v>12.857142857142858</v>
      </c>
      <c r="W22" s="23">
        <f>IF(Parameters!$B$14&lt;&gt;0,IF(Parameters!$B$17&lt;&gt;0,(Parameters!$B$22-Parameters!$B$20)/(Parameters!$B$17*Parameters!$B$14),0),0)</f>
        <v>0.86419753086419759</v>
      </c>
      <c r="X22" s="24">
        <f t="shared" si="5"/>
        <v>0</v>
      </c>
    </row>
    <row r="23" spans="1:24" ht="15" customHeight="1" x14ac:dyDescent="0.3">
      <c r="A23" s="16">
        <v>22</v>
      </c>
      <c r="B23" s="17" t="s">
        <v>90</v>
      </c>
      <c r="C23" s="17" t="s">
        <v>2</v>
      </c>
      <c r="D23" s="18">
        <f t="shared" si="6"/>
        <v>28</v>
      </c>
      <c r="E23" s="18">
        <f>ROUND(I23/Parameters!$B$14,0)</f>
        <v>3</v>
      </c>
      <c r="F23" s="18">
        <f>ROUND(D22*Parameters!$B$16,0)</f>
        <v>0</v>
      </c>
      <c r="G23" s="18">
        <f>ROUND(D22*Parameters!$B$17,0)</f>
        <v>3</v>
      </c>
      <c r="H23" s="19">
        <f>D23*Parameters!$B$22</f>
        <v>420</v>
      </c>
      <c r="I23" s="19">
        <f>MAX(Parameters!$B$13,H22*Parameters!$B$12)</f>
        <v>300</v>
      </c>
      <c r="J23" s="19">
        <f>D23*Parameters!$B$20</f>
        <v>224</v>
      </c>
      <c r="K23" s="19">
        <f>IF(D23&lt;=100,Parameters!$B$6,IF(D23&lt;=500,Parameters!$B$7,IF(D23&lt;=2000,Parameters!$B$8,IF(D23&lt;=10000,Parameters!$B$9,Parameters!$B$10))))</f>
        <v>1000</v>
      </c>
      <c r="L23" s="19">
        <f t="shared" si="0"/>
        <v>1524</v>
      </c>
      <c r="M23" s="19">
        <f t="shared" si="1"/>
        <v>196</v>
      </c>
      <c r="N23" s="19">
        <f t="shared" si="2"/>
        <v>-1104</v>
      </c>
      <c r="O23" s="19">
        <f t="shared" si="7"/>
        <v>-28562</v>
      </c>
      <c r="P23" s="20">
        <f t="shared" si="3"/>
        <v>0.46666666666666667</v>
      </c>
      <c r="Q23" s="20">
        <f t="shared" si="4"/>
        <v>-2.6285714285714286</v>
      </c>
      <c r="R23" s="21">
        <f>Parameters!$B$22</f>
        <v>15</v>
      </c>
      <c r="S23" s="21">
        <f>Parameters!$B$20</f>
        <v>8</v>
      </c>
      <c r="T23" s="21">
        <f>Parameters!$B$14</f>
        <v>90</v>
      </c>
      <c r="U23" s="19">
        <f>IF(Parameters!$B$17&lt;&gt;0,(Parameters!$B$22-Parameters!$B$20)/Parameters!$B$17,0)</f>
        <v>77.777777777777786</v>
      </c>
      <c r="V23" s="22">
        <f>IF((Parameters!$B$22-Parameters!$B$20)&gt;0,Parameters!$B$14/(Parameters!$B$22-Parameters!$B$20),999)</f>
        <v>12.857142857142858</v>
      </c>
      <c r="W23" s="23">
        <f>IF(Parameters!$B$14&lt;&gt;0,IF(Parameters!$B$17&lt;&gt;0,(Parameters!$B$22-Parameters!$B$20)/(Parameters!$B$17*Parameters!$B$14),0),0)</f>
        <v>0.86419753086419759</v>
      </c>
      <c r="X23" s="24">
        <f t="shared" si="5"/>
        <v>0</v>
      </c>
    </row>
    <row r="24" spans="1:24" ht="15" customHeight="1" x14ac:dyDescent="0.3">
      <c r="A24" s="16">
        <v>23</v>
      </c>
      <c r="B24" s="17" t="s">
        <v>91</v>
      </c>
      <c r="C24" s="17" t="s">
        <v>2</v>
      </c>
      <c r="D24" s="18">
        <f t="shared" si="6"/>
        <v>28</v>
      </c>
      <c r="E24" s="18">
        <f>ROUND(I24/Parameters!$B$14,0)</f>
        <v>3</v>
      </c>
      <c r="F24" s="18">
        <f>ROUND(D23*Parameters!$B$16,0)</f>
        <v>0</v>
      </c>
      <c r="G24" s="18">
        <f>ROUND(D23*Parameters!$B$17,0)</f>
        <v>3</v>
      </c>
      <c r="H24" s="19">
        <f>D24*Parameters!$B$22</f>
        <v>420</v>
      </c>
      <c r="I24" s="19">
        <f>MAX(Parameters!$B$13,H23*Parameters!$B$12)</f>
        <v>300</v>
      </c>
      <c r="J24" s="19">
        <f>D24*Parameters!$B$20</f>
        <v>224</v>
      </c>
      <c r="K24" s="19">
        <f>IF(D24&lt;=100,Parameters!$B$6,IF(D24&lt;=500,Parameters!$B$7,IF(D24&lt;=2000,Parameters!$B$8,IF(D24&lt;=10000,Parameters!$B$9,Parameters!$B$10))))</f>
        <v>1000</v>
      </c>
      <c r="L24" s="19">
        <f t="shared" si="0"/>
        <v>1524</v>
      </c>
      <c r="M24" s="19">
        <f t="shared" si="1"/>
        <v>196</v>
      </c>
      <c r="N24" s="19">
        <f t="shared" si="2"/>
        <v>-1104</v>
      </c>
      <c r="O24" s="19">
        <f t="shared" si="7"/>
        <v>-29666</v>
      </c>
      <c r="P24" s="20">
        <f t="shared" si="3"/>
        <v>0.46666666666666667</v>
      </c>
      <c r="Q24" s="20">
        <f t="shared" si="4"/>
        <v>-2.6285714285714286</v>
      </c>
      <c r="R24" s="21">
        <f>Parameters!$B$22</f>
        <v>15</v>
      </c>
      <c r="S24" s="21">
        <f>Parameters!$B$20</f>
        <v>8</v>
      </c>
      <c r="T24" s="21">
        <f>Parameters!$B$14</f>
        <v>90</v>
      </c>
      <c r="U24" s="19">
        <f>IF(Parameters!$B$17&lt;&gt;0,(Parameters!$B$22-Parameters!$B$20)/Parameters!$B$17,0)</f>
        <v>77.777777777777786</v>
      </c>
      <c r="V24" s="22">
        <f>IF((Parameters!$B$22-Parameters!$B$20)&gt;0,Parameters!$B$14/(Parameters!$B$22-Parameters!$B$20),999)</f>
        <v>12.857142857142858</v>
      </c>
      <c r="W24" s="23">
        <f>IF(Parameters!$B$14&lt;&gt;0,IF(Parameters!$B$17&lt;&gt;0,(Parameters!$B$22-Parameters!$B$20)/(Parameters!$B$17*Parameters!$B$14),0),0)</f>
        <v>0.86419753086419759</v>
      </c>
      <c r="X24" s="24">
        <f t="shared" si="5"/>
        <v>0</v>
      </c>
    </row>
    <row r="25" spans="1:24" ht="15" customHeight="1" x14ac:dyDescent="0.3">
      <c r="A25" s="16">
        <v>24</v>
      </c>
      <c r="B25" s="17" t="s">
        <v>92</v>
      </c>
      <c r="C25" s="17" t="s">
        <v>2</v>
      </c>
      <c r="D25" s="18">
        <f t="shared" si="6"/>
        <v>28</v>
      </c>
      <c r="E25" s="18">
        <f>ROUND(I25/Parameters!$B$14,0)</f>
        <v>3</v>
      </c>
      <c r="F25" s="18">
        <f>ROUND(D24*Parameters!$B$16,0)</f>
        <v>0</v>
      </c>
      <c r="G25" s="18">
        <f>ROUND(D24*Parameters!$B$17,0)</f>
        <v>3</v>
      </c>
      <c r="H25" s="19">
        <f>D25*Parameters!$B$22</f>
        <v>420</v>
      </c>
      <c r="I25" s="19">
        <f>MAX(Parameters!$B$13,H24*Parameters!$B$12)</f>
        <v>300</v>
      </c>
      <c r="J25" s="19">
        <f>D25*Parameters!$B$20</f>
        <v>224</v>
      </c>
      <c r="K25" s="19">
        <f>IF(D25&lt;=100,Parameters!$B$6,IF(D25&lt;=500,Parameters!$B$7,IF(D25&lt;=2000,Parameters!$B$8,IF(D25&lt;=10000,Parameters!$B$9,Parameters!$B$10))))</f>
        <v>1000</v>
      </c>
      <c r="L25" s="19">
        <f t="shared" si="0"/>
        <v>1524</v>
      </c>
      <c r="M25" s="19">
        <f t="shared" si="1"/>
        <v>196</v>
      </c>
      <c r="N25" s="19">
        <f t="shared" si="2"/>
        <v>-1104</v>
      </c>
      <c r="O25" s="19">
        <f t="shared" si="7"/>
        <v>-30770</v>
      </c>
      <c r="P25" s="20">
        <f t="shared" si="3"/>
        <v>0.46666666666666667</v>
      </c>
      <c r="Q25" s="20">
        <f t="shared" si="4"/>
        <v>-2.6285714285714286</v>
      </c>
      <c r="R25" s="21">
        <f>Parameters!$B$22</f>
        <v>15</v>
      </c>
      <c r="S25" s="21">
        <f>Parameters!$B$20</f>
        <v>8</v>
      </c>
      <c r="T25" s="21">
        <f>Parameters!$B$14</f>
        <v>90</v>
      </c>
      <c r="U25" s="19">
        <f>IF(Parameters!$B$17&lt;&gt;0,(Parameters!$B$22-Parameters!$B$20)/Parameters!$B$17,0)</f>
        <v>77.777777777777786</v>
      </c>
      <c r="V25" s="22">
        <f>IF((Parameters!$B$22-Parameters!$B$20)&gt;0,Parameters!$B$14/(Parameters!$B$22-Parameters!$B$20),999)</f>
        <v>12.857142857142858</v>
      </c>
      <c r="W25" s="23">
        <f>IF(Parameters!$B$14&lt;&gt;0,IF(Parameters!$B$17&lt;&gt;0,(Parameters!$B$22-Parameters!$B$20)/(Parameters!$B$17*Parameters!$B$14),0),0)</f>
        <v>0.86419753086419759</v>
      </c>
      <c r="X25" s="24">
        <f t="shared" si="5"/>
        <v>0</v>
      </c>
    </row>
    <row r="26" spans="1:24" ht="15" customHeight="1" x14ac:dyDescent="0.3">
      <c r="A26" s="16">
        <v>25</v>
      </c>
      <c r="B26" s="17" t="s">
        <v>93</v>
      </c>
      <c r="C26" s="17" t="s">
        <v>2</v>
      </c>
      <c r="D26" s="18">
        <f t="shared" si="6"/>
        <v>28</v>
      </c>
      <c r="E26" s="18">
        <f>ROUND(I26/Parameters!$B$14,0)</f>
        <v>3</v>
      </c>
      <c r="F26" s="18">
        <f>ROUND(D25*Parameters!$B$16,0)</f>
        <v>0</v>
      </c>
      <c r="G26" s="18">
        <f>ROUND(D25*Parameters!$B$17,0)</f>
        <v>3</v>
      </c>
      <c r="H26" s="19">
        <f>D26*Parameters!$B$22</f>
        <v>420</v>
      </c>
      <c r="I26" s="19">
        <f>MAX(Parameters!$B$13,H25*Parameters!$B$12)</f>
        <v>300</v>
      </c>
      <c r="J26" s="19">
        <f>D26*Parameters!$B$20</f>
        <v>224</v>
      </c>
      <c r="K26" s="19">
        <f>IF(D26&lt;=100,Parameters!$B$6,IF(D26&lt;=500,Parameters!$B$7,IF(D26&lt;=2000,Parameters!$B$8,IF(D26&lt;=10000,Parameters!$B$9,Parameters!$B$10))))</f>
        <v>1000</v>
      </c>
      <c r="L26" s="19">
        <f t="shared" si="0"/>
        <v>1524</v>
      </c>
      <c r="M26" s="19">
        <f t="shared" si="1"/>
        <v>196</v>
      </c>
      <c r="N26" s="19">
        <f t="shared" si="2"/>
        <v>-1104</v>
      </c>
      <c r="O26" s="19">
        <f t="shared" si="7"/>
        <v>-31874</v>
      </c>
      <c r="P26" s="20">
        <f t="shared" si="3"/>
        <v>0.46666666666666667</v>
      </c>
      <c r="Q26" s="20">
        <f t="shared" si="4"/>
        <v>-2.6285714285714286</v>
      </c>
      <c r="R26" s="21">
        <f>Parameters!$B$22</f>
        <v>15</v>
      </c>
      <c r="S26" s="21">
        <f>Parameters!$B$20</f>
        <v>8</v>
      </c>
      <c r="T26" s="21">
        <f>Parameters!$B$14</f>
        <v>90</v>
      </c>
      <c r="U26" s="19">
        <f>IF(Parameters!$B$17&lt;&gt;0,(Parameters!$B$22-Parameters!$B$20)/Parameters!$B$17,0)</f>
        <v>77.777777777777786</v>
      </c>
      <c r="V26" s="22">
        <f>IF((Parameters!$B$22-Parameters!$B$20)&gt;0,Parameters!$B$14/(Parameters!$B$22-Parameters!$B$20),999)</f>
        <v>12.857142857142858</v>
      </c>
      <c r="W26" s="23">
        <f>IF(Parameters!$B$14&lt;&gt;0,IF(Parameters!$B$17&lt;&gt;0,(Parameters!$B$22-Parameters!$B$20)/(Parameters!$B$17*Parameters!$B$14),0),0)</f>
        <v>0.86419753086419759</v>
      </c>
      <c r="X26" s="24">
        <f t="shared" si="5"/>
        <v>0</v>
      </c>
    </row>
    <row r="27" spans="1:24" ht="15" customHeight="1" x14ac:dyDescent="0.3">
      <c r="A27" s="16">
        <v>26</v>
      </c>
      <c r="B27" s="17" t="s">
        <v>94</v>
      </c>
      <c r="C27" s="17" t="s">
        <v>2</v>
      </c>
      <c r="D27" s="18">
        <f t="shared" si="6"/>
        <v>28</v>
      </c>
      <c r="E27" s="18">
        <f>ROUND(I27/Parameters!$B$14,0)</f>
        <v>3</v>
      </c>
      <c r="F27" s="18">
        <f>ROUND(D26*Parameters!$B$16,0)</f>
        <v>0</v>
      </c>
      <c r="G27" s="18">
        <f>ROUND(D26*Parameters!$B$17,0)</f>
        <v>3</v>
      </c>
      <c r="H27" s="19">
        <f>D27*Parameters!$B$22</f>
        <v>420</v>
      </c>
      <c r="I27" s="19">
        <f>MAX(Parameters!$B$13,H26*Parameters!$B$12)</f>
        <v>300</v>
      </c>
      <c r="J27" s="19">
        <f>D27*Parameters!$B$20</f>
        <v>224</v>
      </c>
      <c r="K27" s="19">
        <f>IF(D27&lt;=100,Parameters!$B$6,IF(D27&lt;=500,Parameters!$B$7,IF(D27&lt;=2000,Parameters!$B$8,IF(D27&lt;=10000,Parameters!$B$9,Parameters!$B$10))))</f>
        <v>1000</v>
      </c>
      <c r="L27" s="19">
        <f t="shared" si="0"/>
        <v>1524</v>
      </c>
      <c r="M27" s="19">
        <f t="shared" si="1"/>
        <v>196</v>
      </c>
      <c r="N27" s="19">
        <f t="shared" si="2"/>
        <v>-1104</v>
      </c>
      <c r="O27" s="19">
        <f t="shared" si="7"/>
        <v>-32978</v>
      </c>
      <c r="P27" s="20">
        <f t="shared" si="3"/>
        <v>0.46666666666666667</v>
      </c>
      <c r="Q27" s="20">
        <f t="shared" si="4"/>
        <v>-2.6285714285714286</v>
      </c>
      <c r="R27" s="21">
        <f>Parameters!$B$22</f>
        <v>15</v>
      </c>
      <c r="S27" s="21">
        <f>Parameters!$B$20</f>
        <v>8</v>
      </c>
      <c r="T27" s="21">
        <f>Parameters!$B$14</f>
        <v>90</v>
      </c>
      <c r="U27" s="19">
        <f>IF(Parameters!$B$17&lt;&gt;0,(Parameters!$B$22-Parameters!$B$20)/Parameters!$B$17,0)</f>
        <v>77.777777777777786</v>
      </c>
      <c r="V27" s="22">
        <f>IF((Parameters!$B$22-Parameters!$B$20)&gt;0,Parameters!$B$14/(Parameters!$B$22-Parameters!$B$20),999)</f>
        <v>12.857142857142858</v>
      </c>
      <c r="W27" s="23">
        <f>IF(Parameters!$B$14&lt;&gt;0,IF(Parameters!$B$17&lt;&gt;0,(Parameters!$B$22-Parameters!$B$20)/(Parameters!$B$17*Parameters!$B$14),0),0)</f>
        <v>0.86419753086419759</v>
      </c>
      <c r="X27" s="24">
        <f t="shared" si="5"/>
        <v>0</v>
      </c>
    </row>
    <row r="28" spans="1:24" ht="15" customHeight="1" x14ac:dyDescent="0.3">
      <c r="A28" s="16">
        <v>27</v>
      </c>
      <c r="B28" s="17" t="s">
        <v>95</v>
      </c>
      <c r="C28" s="17" t="s">
        <v>2</v>
      </c>
      <c r="D28" s="18">
        <f t="shared" si="6"/>
        <v>28</v>
      </c>
      <c r="E28" s="18">
        <f>ROUND(I28/Parameters!$B$14,0)</f>
        <v>3</v>
      </c>
      <c r="F28" s="18">
        <f>ROUND(D27*Parameters!$B$16,0)</f>
        <v>0</v>
      </c>
      <c r="G28" s="18">
        <f>ROUND(D27*Parameters!$B$17,0)</f>
        <v>3</v>
      </c>
      <c r="H28" s="19">
        <f>D28*Parameters!$B$22</f>
        <v>420</v>
      </c>
      <c r="I28" s="19">
        <f>MAX(Parameters!$B$13,H27*Parameters!$B$12)</f>
        <v>300</v>
      </c>
      <c r="J28" s="19">
        <f>D28*Parameters!$B$20</f>
        <v>224</v>
      </c>
      <c r="K28" s="19">
        <f>IF(D28&lt;=100,Parameters!$B$6,IF(D28&lt;=500,Parameters!$B$7,IF(D28&lt;=2000,Parameters!$B$8,IF(D28&lt;=10000,Parameters!$B$9,Parameters!$B$10))))</f>
        <v>1000</v>
      </c>
      <c r="L28" s="19">
        <f t="shared" si="0"/>
        <v>1524</v>
      </c>
      <c r="M28" s="19">
        <f t="shared" si="1"/>
        <v>196</v>
      </c>
      <c r="N28" s="19">
        <f t="shared" si="2"/>
        <v>-1104</v>
      </c>
      <c r="O28" s="19">
        <f t="shared" si="7"/>
        <v>-34082</v>
      </c>
      <c r="P28" s="20">
        <f t="shared" si="3"/>
        <v>0.46666666666666667</v>
      </c>
      <c r="Q28" s="20">
        <f t="shared" si="4"/>
        <v>-2.6285714285714286</v>
      </c>
      <c r="R28" s="21">
        <f>Parameters!$B$22</f>
        <v>15</v>
      </c>
      <c r="S28" s="21">
        <f>Parameters!$B$20</f>
        <v>8</v>
      </c>
      <c r="T28" s="21">
        <f>Parameters!$B$14</f>
        <v>90</v>
      </c>
      <c r="U28" s="19">
        <f>IF(Parameters!$B$17&lt;&gt;0,(Parameters!$B$22-Parameters!$B$20)/Parameters!$B$17,0)</f>
        <v>77.777777777777786</v>
      </c>
      <c r="V28" s="22">
        <f>IF((Parameters!$B$22-Parameters!$B$20)&gt;0,Parameters!$B$14/(Parameters!$B$22-Parameters!$B$20),999)</f>
        <v>12.857142857142858</v>
      </c>
      <c r="W28" s="23">
        <f>IF(Parameters!$B$14&lt;&gt;0,IF(Parameters!$B$17&lt;&gt;0,(Parameters!$B$22-Parameters!$B$20)/(Parameters!$B$17*Parameters!$B$14),0),0)</f>
        <v>0.86419753086419759</v>
      </c>
      <c r="X28" s="24">
        <f t="shared" si="5"/>
        <v>0</v>
      </c>
    </row>
    <row r="29" spans="1:24" ht="15" customHeight="1" x14ac:dyDescent="0.3">
      <c r="A29" s="16">
        <v>28</v>
      </c>
      <c r="B29" s="17" t="s">
        <v>96</v>
      </c>
      <c r="C29" s="17" t="s">
        <v>2</v>
      </c>
      <c r="D29" s="18">
        <f t="shared" si="6"/>
        <v>28</v>
      </c>
      <c r="E29" s="18">
        <f>ROUND(I29/Parameters!$B$14,0)</f>
        <v>3</v>
      </c>
      <c r="F29" s="18">
        <f>ROUND(D28*Parameters!$B$16,0)</f>
        <v>0</v>
      </c>
      <c r="G29" s="18">
        <f>ROUND(D28*Parameters!$B$17,0)</f>
        <v>3</v>
      </c>
      <c r="H29" s="19">
        <f>D29*Parameters!$B$22</f>
        <v>420</v>
      </c>
      <c r="I29" s="19">
        <f>MAX(Parameters!$B$13,H28*Parameters!$B$12)</f>
        <v>300</v>
      </c>
      <c r="J29" s="19">
        <f>D29*Parameters!$B$20</f>
        <v>224</v>
      </c>
      <c r="K29" s="19">
        <f>IF(D29&lt;=100,Parameters!$B$6,IF(D29&lt;=500,Parameters!$B$7,IF(D29&lt;=2000,Parameters!$B$8,IF(D29&lt;=10000,Parameters!$B$9,Parameters!$B$10))))</f>
        <v>1000</v>
      </c>
      <c r="L29" s="19">
        <f t="shared" si="0"/>
        <v>1524</v>
      </c>
      <c r="M29" s="19">
        <f t="shared" si="1"/>
        <v>196</v>
      </c>
      <c r="N29" s="19">
        <f t="shared" si="2"/>
        <v>-1104</v>
      </c>
      <c r="O29" s="19">
        <f t="shared" si="7"/>
        <v>-35186</v>
      </c>
      <c r="P29" s="20">
        <f t="shared" si="3"/>
        <v>0.46666666666666667</v>
      </c>
      <c r="Q29" s="20">
        <f t="shared" si="4"/>
        <v>-2.6285714285714286</v>
      </c>
      <c r="R29" s="21">
        <f>Parameters!$B$22</f>
        <v>15</v>
      </c>
      <c r="S29" s="21">
        <f>Parameters!$B$20</f>
        <v>8</v>
      </c>
      <c r="T29" s="21">
        <f>Parameters!$B$14</f>
        <v>90</v>
      </c>
      <c r="U29" s="19">
        <f>IF(Parameters!$B$17&lt;&gt;0,(Parameters!$B$22-Parameters!$B$20)/Parameters!$B$17,0)</f>
        <v>77.777777777777786</v>
      </c>
      <c r="V29" s="22">
        <f>IF((Parameters!$B$22-Parameters!$B$20)&gt;0,Parameters!$B$14/(Parameters!$B$22-Parameters!$B$20),999)</f>
        <v>12.857142857142858</v>
      </c>
      <c r="W29" s="23">
        <f>IF(Parameters!$B$14&lt;&gt;0,IF(Parameters!$B$17&lt;&gt;0,(Parameters!$B$22-Parameters!$B$20)/(Parameters!$B$17*Parameters!$B$14),0),0)</f>
        <v>0.86419753086419759</v>
      </c>
      <c r="X29" s="24">
        <f t="shared" si="5"/>
        <v>0</v>
      </c>
    </row>
    <row r="30" spans="1:24" ht="15" customHeight="1" x14ac:dyDescent="0.3">
      <c r="A30" s="16">
        <v>29</v>
      </c>
      <c r="B30" s="17" t="s">
        <v>97</v>
      </c>
      <c r="C30" s="17" t="s">
        <v>2</v>
      </c>
      <c r="D30" s="18">
        <f t="shared" si="6"/>
        <v>28</v>
      </c>
      <c r="E30" s="18">
        <f>ROUND(I30/Parameters!$B$14,0)</f>
        <v>3</v>
      </c>
      <c r="F30" s="18">
        <f>ROUND(D29*Parameters!$B$16,0)</f>
        <v>0</v>
      </c>
      <c r="G30" s="18">
        <f>ROUND(D29*Parameters!$B$17,0)</f>
        <v>3</v>
      </c>
      <c r="H30" s="19">
        <f>D30*Parameters!$B$22</f>
        <v>420</v>
      </c>
      <c r="I30" s="19">
        <f>MAX(Parameters!$B$13,H29*Parameters!$B$12)</f>
        <v>300</v>
      </c>
      <c r="J30" s="19">
        <f>D30*Parameters!$B$20</f>
        <v>224</v>
      </c>
      <c r="K30" s="19">
        <f>IF(D30&lt;=100,Parameters!$B$6,IF(D30&lt;=500,Parameters!$B$7,IF(D30&lt;=2000,Parameters!$B$8,IF(D30&lt;=10000,Parameters!$B$9,Parameters!$B$10))))</f>
        <v>1000</v>
      </c>
      <c r="L30" s="19">
        <f t="shared" si="0"/>
        <v>1524</v>
      </c>
      <c r="M30" s="19">
        <f t="shared" si="1"/>
        <v>196</v>
      </c>
      <c r="N30" s="19">
        <f t="shared" si="2"/>
        <v>-1104</v>
      </c>
      <c r="O30" s="19">
        <f t="shared" si="7"/>
        <v>-36290</v>
      </c>
      <c r="P30" s="20">
        <f t="shared" si="3"/>
        <v>0.46666666666666667</v>
      </c>
      <c r="Q30" s="20">
        <f t="shared" si="4"/>
        <v>-2.6285714285714286</v>
      </c>
      <c r="R30" s="21">
        <f>Parameters!$B$22</f>
        <v>15</v>
      </c>
      <c r="S30" s="21">
        <f>Parameters!$B$20</f>
        <v>8</v>
      </c>
      <c r="T30" s="21">
        <f>Parameters!$B$14</f>
        <v>90</v>
      </c>
      <c r="U30" s="19">
        <f>IF(Parameters!$B$17&lt;&gt;0,(Parameters!$B$22-Parameters!$B$20)/Parameters!$B$17,0)</f>
        <v>77.777777777777786</v>
      </c>
      <c r="V30" s="22">
        <f>IF((Parameters!$B$22-Parameters!$B$20)&gt;0,Parameters!$B$14/(Parameters!$B$22-Parameters!$B$20),999)</f>
        <v>12.857142857142858</v>
      </c>
      <c r="W30" s="23">
        <f>IF(Parameters!$B$14&lt;&gt;0,IF(Parameters!$B$17&lt;&gt;0,(Parameters!$B$22-Parameters!$B$20)/(Parameters!$B$17*Parameters!$B$14),0),0)</f>
        <v>0.86419753086419759</v>
      </c>
      <c r="X30" s="24">
        <f t="shared" si="5"/>
        <v>0</v>
      </c>
    </row>
    <row r="31" spans="1:24" ht="15" customHeight="1" x14ac:dyDescent="0.3">
      <c r="A31" s="16">
        <v>30</v>
      </c>
      <c r="B31" s="17" t="s">
        <v>98</v>
      </c>
      <c r="C31" s="17" t="s">
        <v>2</v>
      </c>
      <c r="D31" s="18">
        <f t="shared" si="6"/>
        <v>28</v>
      </c>
      <c r="E31" s="18">
        <f>ROUND(I31/Parameters!$B$14,0)</f>
        <v>3</v>
      </c>
      <c r="F31" s="18">
        <f>ROUND(D30*Parameters!$B$16,0)</f>
        <v>0</v>
      </c>
      <c r="G31" s="18">
        <f>ROUND(D30*Parameters!$B$17,0)</f>
        <v>3</v>
      </c>
      <c r="H31" s="19">
        <f>D31*Parameters!$B$22</f>
        <v>420</v>
      </c>
      <c r="I31" s="19">
        <f>MAX(Parameters!$B$13,H30*Parameters!$B$12)</f>
        <v>300</v>
      </c>
      <c r="J31" s="19">
        <f>D31*Parameters!$B$20</f>
        <v>224</v>
      </c>
      <c r="K31" s="19">
        <f>IF(D31&lt;=100,Parameters!$B$6,IF(D31&lt;=500,Parameters!$B$7,IF(D31&lt;=2000,Parameters!$B$8,IF(D31&lt;=10000,Parameters!$B$9,Parameters!$B$10))))</f>
        <v>1000</v>
      </c>
      <c r="L31" s="19">
        <f t="shared" si="0"/>
        <v>1524</v>
      </c>
      <c r="M31" s="19">
        <f t="shared" si="1"/>
        <v>196</v>
      </c>
      <c r="N31" s="19">
        <f t="shared" si="2"/>
        <v>-1104</v>
      </c>
      <c r="O31" s="19">
        <f t="shared" si="7"/>
        <v>-37394</v>
      </c>
      <c r="P31" s="20">
        <f t="shared" si="3"/>
        <v>0.46666666666666667</v>
      </c>
      <c r="Q31" s="20">
        <f t="shared" si="4"/>
        <v>-2.6285714285714286</v>
      </c>
      <c r="R31" s="21">
        <f>Parameters!$B$22</f>
        <v>15</v>
      </c>
      <c r="S31" s="21">
        <f>Parameters!$B$20</f>
        <v>8</v>
      </c>
      <c r="T31" s="21">
        <f>Parameters!$B$14</f>
        <v>90</v>
      </c>
      <c r="U31" s="19">
        <f>IF(Parameters!$B$17&lt;&gt;0,(Parameters!$B$22-Parameters!$B$20)/Parameters!$B$17,0)</f>
        <v>77.777777777777786</v>
      </c>
      <c r="V31" s="22">
        <f>IF((Parameters!$B$22-Parameters!$B$20)&gt;0,Parameters!$B$14/(Parameters!$B$22-Parameters!$B$20),999)</f>
        <v>12.857142857142858</v>
      </c>
      <c r="W31" s="23">
        <f>IF(Parameters!$B$14&lt;&gt;0,IF(Parameters!$B$17&lt;&gt;0,(Parameters!$B$22-Parameters!$B$20)/(Parameters!$B$17*Parameters!$B$14),0),0)</f>
        <v>0.86419753086419759</v>
      </c>
      <c r="X31" s="24">
        <f t="shared" si="5"/>
        <v>0</v>
      </c>
    </row>
    <row r="32" spans="1:24" ht="15" customHeight="1" x14ac:dyDescent="0.3">
      <c r="A32" s="16">
        <v>31</v>
      </c>
      <c r="B32" s="17" t="s">
        <v>99</v>
      </c>
      <c r="C32" s="17" t="s">
        <v>2</v>
      </c>
      <c r="D32" s="18">
        <f t="shared" si="6"/>
        <v>28</v>
      </c>
      <c r="E32" s="18">
        <f>ROUND(I32/Parameters!$B$14,0)</f>
        <v>3</v>
      </c>
      <c r="F32" s="18">
        <f>ROUND(D31*Parameters!$B$16,0)</f>
        <v>0</v>
      </c>
      <c r="G32" s="18">
        <f>ROUND(D31*Parameters!$B$17,0)</f>
        <v>3</v>
      </c>
      <c r="H32" s="19">
        <f>D32*Parameters!$B$22</f>
        <v>420</v>
      </c>
      <c r="I32" s="19">
        <f>MAX(Parameters!$B$13,H31*Parameters!$B$12)</f>
        <v>300</v>
      </c>
      <c r="J32" s="19">
        <f>D32*Parameters!$B$20</f>
        <v>224</v>
      </c>
      <c r="K32" s="19">
        <f>IF(D32&lt;=100,Parameters!$B$6,IF(D32&lt;=500,Parameters!$B$7,IF(D32&lt;=2000,Parameters!$B$8,IF(D32&lt;=10000,Parameters!$B$9,Parameters!$B$10))))</f>
        <v>1000</v>
      </c>
      <c r="L32" s="19">
        <f t="shared" si="0"/>
        <v>1524</v>
      </c>
      <c r="M32" s="19">
        <f t="shared" si="1"/>
        <v>196</v>
      </c>
      <c r="N32" s="19">
        <f t="shared" si="2"/>
        <v>-1104</v>
      </c>
      <c r="O32" s="19">
        <f t="shared" si="7"/>
        <v>-38498</v>
      </c>
      <c r="P32" s="20">
        <f t="shared" si="3"/>
        <v>0.46666666666666667</v>
      </c>
      <c r="Q32" s="20">
        <f t="shared" si="4"/>
        <v>-2.6285714285714286</v>
      </c>
      <c r="R32" s="21">
        <f>Parameters!$B$22</f>
        <v>15</v>
      </c>
      <c r="S32" s="21">
        <f>Parameters!$B$20</f>
        <v>8</v>
      </c>
      <c r="T32" s="21">
        <f>Parameters!$B$14</f>
        <v>90</v>
      </c>
      <c r="U32" s="19">
        <f>IF(Parameters!$B$17&lt;&gt;0,(Parameters!$B$22-Parameters!$B$20)/Parameters!$B$17,0)</f>
        <v>77.777777777777786</v>
      </c>
      <c r="V32" s="22">
        <f>IF((Parameters!$B$22-Parameters!$B$20)&gt;0,Parameters!$B$14/(Parameters!$B$22-Parameters!$B$20),999)</f>
        <v>12.857142857142858</v>
      </c>
      <c r="W32" s="23">
        <f>IF(Parameters!$B$14&lt;&gt;0,IF(Parameters!$B$17&lt;&gt;0,(Parameters!$B$22-Parameters!$B$20)/(Parameters!$B$17*Parameters!$B$14),0),0)</f>
        <v>0.86419753086419759</v>
      </c>
      <c r="X32" s="24">
        <f t="shared" si="5"/>
        <v>0</v>
      </c>
    </row>
    <row r="33" spans="1:24" ht="15" customHeight="1" x14ac:dyDescent="0.3">
      <c r="A33" s="16">
        <v>32</v>
      </c>
      <c r="B33" s="17" t="s">
        <v>100</v>
      </c>
      <c r="C33" s="17" t="s">
        <v>2</v>
      </c>
      <c r="D33" s="18">
        <f t="shared" si="6"/>
        <v>28</v>
      </c>
      <c r="E33" s="18">
        <f>ROUND(I33/Parameters!$B$14,0)</f>
        <v>3</v>
      </c>
      <c r="F33" s="18">
        <f>ROUND(D32*Parameters!$B$16,0)</f>
        <v>0</v>
      </c>
      <c r="G33" s="18">
        <f>ROUND(D32*Parameters!$B$17,0)</f>
        <v>3</v>
      </c>
      <c r="H33" s="19">
        <f>D33*Parameters!$B$22</f>
        <v>420</v>
      </c>
      <c r="I33" s="19">
        <f>MAX(Parameters!$B$13,H32*Parameters!$B$12)</f>
        <v>300</v>
      </c>
      <c r="J33" s="19">
        <f>D33*Parameters!$B$20</f>
        <v>224</v>
      </c>
      <c r="K33" s="19">
        <f>IF(D33&lt;=100,Parameters!$B$6,IF(D33&lt;=500,Parameters!$B$7,IF(D33&lt;=2000,Parameters!$B$8,IF(D33&lt;=10000,Parameters!$B$9,Parameters!$B$10))))</f>
        <v>1000</v>
      </c>
      <c r="L33" s="19">
        <f t="shared" si="0"/>
        <v>1524</v>
      </c>
      <c r="M33" s="19">
        <f t="shared" si="1"/>
        <v>196</v>
      </c>
      <c r="N33" s="19">
        <f t="shared" si="2"/>
        <v>-1104</v>
      </c>
      <c r="O33" s="19">
        <f t="shared" si="7"/>
        <v>-39602</v>
      </c>
      <c r="P33" s="20">
        <f t="shared" si="3"/>
        <v>0.46666666666666667</v>
      </c>
      <c r="Q33" s="20">
        <f t="shared" si="4"/>
        <v>-2.6285714285714286</v>
      </c>
      <c r="R33" s="21">
        <f>Parameters!$B$22</f>
        <v>15</v>
      </c>
      <c r="S33" s="21">
        <f>Parameters!$B$20</f>
        <v>8</v>
      </c>
      <c r="T33" s="21">
        <f>Parameters!$B$14</f>
        <v>90</v>
      </c>
      <c r="U33" s="19">
        <f>IF(Parameters!$B$17&lt;&gt;0,(Parameters!$B$22-Parameters!$B$20)/Parameters!$B$17,0)</f>
        <v>77.777777777777786</v>
      </c>
      <c r="V33" s="22">
        <f>IF((Parameters!$B$22-Parameters!$B$20)&gt;0,Parameters!$B$14/(Parameters!$B$22-Parameters!$B$20),999)</f>
        <v>12.857142857142858</v>
      </c>
      <c r="W33" s="23">
        <f>IF(Parameters!$B$14&lt;&gt;0,IF(Parameters!$B$17&lt;&gt;0,(Parameters!$B$22-Parameters!$B$20)/(Parameters!$B$17*Parameters!$B$14),0),0)</f>
        <v>0.86419753086419759</v>
      </c>
      <c r="X33" s="24">
        <f t="shared" si="5"/>
        <v>0</v>
      </c>
    </row>
    <row r="34" spans="1:24" ht="15" customHeight="1" x14ac:dyDescent="0.3">
      <c r="A34" s="16">
        <v>33</v>
      </c>
      <c r="B34" s="17" t="s">
        <v>101</v>
      </c>
      <c r="C34" s="17" t="s">
        <v>2</v>
      </c>
      <c r="D34" s="18">
        <f t="shared" si="6"/>
        <v>28</v>
      </c>
      <c r="E34" s="18">
        <f>ROUND(I34/Parameters!$B$14,0)</f>
        <v>3</v>
      </c>
      <c r="F34" s="18">
        <f>ROUND(D33*Parameters!$B$16,0)</f>
        <v>0</v>
      </c>
      <c r="G34" s="18">
        <f>ROUND(D33*Parameters!$B$17,0)</f>
        <v>3</v>
      </c>
      <c r="H34" s="19">
        <f>D34*Parameters!$B$22</f>
        <v>420</v>
      </c>
      <c r="I34" s="19">
        <f>MAX(Parameters!$B$13,H33*Parameters!$B$12)</f>
        <v>300</v>
      </c>
      <c r="J34" s="19">
        <f>D34*Parameters!$B$20</f>
        <v>224</v>
      </c>
      <c r="K34" s="19">
        <f>IF(D34&lt;=100,Parameters!$B$6,IF(D34&lt;=500,Parameters!$B$7,IF(D34&lt;=2000,Parameters!$B$8,IF(D34&lt;=10000,Parameters!$B$9,Parameters!$B$10))))</f>
        <v>1000</v>
      </c>
      <c r="L34" s="19">
        <f t="shared" ref="L34:L65" si="8">I34+J34+K34</f>
        <v>1524</v>
      </c>
      <c r="M34" s="19">
        <f t="shared" ref="M34:M65" si="9">H34-J34</f>
        <v>196</v>
      </c>
      <c r="N34" s="19">
        <f t="shared" ref="N34:N65" si="10">H34-L34</f>
        <v>-1104</v>
      </c>
      <c r="O34" s="19">
        <f t="shared" si="7"/>
        <v>-40706</v>
      </c>
      <c r="P34" s="20">
        <f t="shared" ref="P34:P65" si="11">IF(H34&lt;&gt;0,M34/H34,0)</f>
        <v>0.46666666666666667</v>
      </c>
      <c r="Q34" s="20">
        <f t="shared" ref="Q34:Q65" si="12">IF(H34&lt;&gt;0,N34/H34,0)</f>
        <v>-2.6285714285714286</v>
      </c>
      <c r="R34" s="21">
        <f>Parameters!$B$22</f>
        <v>15</v>
      </c>
      <c r="S34" s="21">
        <f>Parameters!$B$20</f>
        <v>8</v>
      </c>
      <c r="T34" s="21">
        <f>Parameters!$B$14</f>
        <v>90</v>
      </c>
      <c r="U34" s="19">
        <f>IF(Parameters!$B$17&lt;&gt;0,(Parameters!$B$22-Parameters!$B$20)/Parameters!$B$17,0)</f>
        <v>77.777777777777786</v>
      </c>
      <c r="V34" s="22">
        <f>IF((Parameters!$B$22-Parameters!$B$20)&gt;0,Parameters!$B$14/(Parameters!$B$22-Parameters!$B$20),999)</f>
        <v>12.857142857142858</v>
      </c>
      <c r="W34" s="23">
        <f>IF(Parameters!$B$14&lt;&gt;0,IF(Parameters!$B$17&lt;&gt;0,(Parameters!$B$22-Parameters!$B$20)/(Parameters!$B$17*Parameters!$B$14),0),0)</f>
        <v>0.86419753086419759</v>
      </c>
      <c r="X34" s="24">
        <f t="shared" ref="X34:X65" si="13">IF(O34&gt;=0,1,0)</f>
        <v>0</v>
      </c>
    </row>
    <row r="35" spans="1:24" ht="15" customHeight="1" x14ac:dyDescent="0.3">
      <c r="A35" s="16">
        <v>34</v>
      </c>
      <c r="B35" s="17" t="s">
        <v>102</v>
      </c>
      <c r="C35" s="17" t="s">
        <v>2</v>
      </c>
      <c r="D35" s="18">
        <f t="shared" si="6"/>
        <v>28</v>
      </c>
      <c r="E35" s="18">
        <f>ROUND(I35/Parameters!$B$14,0)</f>
        <v>3</v>
      </c>
      <c r="F35" s="18">
        <f>ROUND(D34*Parameters!$B$16,0)</f>
        <v>0</v>
      </c>
      <c r="G35" s="18">
        <f>ROUND(D34*Parameters!$B$17,0)</f>
        <v>3</v>
      </c>
      <c r="H35" s="19">
        <f>D35*Parameters!$B$22</f>
        <v>420</v>
      </c>
      <c r="I35" s="19">
        <f>MAX(Parameters!$B$13,H34*Parameters!$B$12)</f>
        <v>300</v>
      </c>
      <c r="J35" s="19">
        <f>D35*Parameters!$B$20</f>
        <v>224</v>
      </c>
      <c r="K35" s="19">
        <f>IF(D35&lt;=100,Parameters!$B$6,IF(D35&lt;=500,Parameters!$B$7,IF(D35&lt;=2000,Parameters!$B$8,IF(D35&lt;=10000,Parameters!$B$9,Parameters!$B$10))))</f>
        <v>1000</v>
      </c>
      <c r="L35" s="19">
        <f t="shared" si="8"/>
        <v>1524</v>
      </c>
      <c r="M35" s="19">
        <f t="shared" si="9"/>
        <v>196</v>
      </c>
      <c r="N35" s="19">
        <f t="shared" si="10"/>
        <v>-1104</v>
      </c>
      <c r="O35" s="19">
        <f t="shared" si="7"/>
        <v>-41810</v>
      </c>
      <c r="P35" s="20">
        <f t="shared" si="11"/>
        <v>0.46666666666666667</v>
      </c>
      <c r="Q35" s="20">
        <f t="shared" si="12"/>
        <v>-2.6285714285714286</v>
      </c>
      <c r="R35" s="21">
        <f>Parameters!$B$22</f>
        <v>15</v>
      </c>
      <c r="S35" s="21">
        <f>Parameters!$B$20</f>
        <v>8</v>
      </c>
      <c r="T35" s="21">
        <f>Parameters!$B$14</f>
        <v>90</v>
      </c>
      <c r="U35" s="19">
        <f>IF(Parameters!$B$17&lt;&gt;0,(Parameters!$B$22-Parameters!$B$20)/Parameters!$B$17,0)</f>
        <v>77.777777777777786</v>
      </c>
      <c r="V35" s="22">
        <f>IF((Parameters!$B$22-Parameters!$B$20)&gt;0,Parameters!$B$14/(Parameters!$B$22-Parameters!$B$20),999)</f>
        <v>12.857142857142858</v>
      </c>
      <c r="W35" s="23">
        <f>IF(Parameters!$B$14&lt;&gt;0,IF(Parameters!$B$17&lt;&gt;0,(Parameters!$B$22-Parameters!$B$20)/(Parameters!$B$17*Parameters!$B$14),0),0)</f>
        <v>0.86419753086419759</v>
      </c>
      <c r="X35" s="24">
        <f t="shared" si="13"/>
        <v>0</v>
      </c>
    </row>
    <row r="36" spans="1:24" ht="15" customHeight="1" x14ac:dyDescent="0.3">
      <c r="A36" s="16">
        <v>35</v>
      </c>
      <c r="B36" s="17" t="s">
        <v>103</v>
      </c>
      <c r="C36" s="17" t="s">
        <v>2</v>
      </c>
      <c r="D36" s="18">
        <f t="shared" si="6"/>
        <v>28</v>
      </c>
      <c r="E36" s="18">
        <f>ROUND(I36/Parameters!$B$14,0)</f>
        <v>3</v>
      </c>
      <c r="F36" s="18">
        <f>ROUND(D35*Parameters!$B$16,0)</f>
        <v>0</v>
      </c>
      <c r="G36" s="18">
        <f>ROUND(D35*Parameters!$B$17,0)</f>
        <v>3</v>
      </c>
      <c r="H36" s="19">
        <f>D36*Parameters!$B$22</f>
        <v>420</v>
      </c>
      <c r="I36" s="19">
        <f>MAX(Parameters!$B$13,H35*Parameters!$B$12)</f>
        <v>300</v>
      </c>
      <c r="J36" s="19">
        <f>D36*Parameters!$B$20</f>
        <v>224</v>
      </c>
      <c r="K36" s="19">
        <f>IF(D36&lt;=100,Parameters!$B$6,IF(D36&lt;=500,Parameters!$B$7,IF(D36&lt;=2000,Parameters!$B$8,IF(D36&lt;=10000,Parameters!$B$9,Parameters!$B$10))))</f>
        <v>1000</v>
      </c>
      <c r="L36" s="19">
        <f t="shared" si="8"/>
        <v>1524</v>
      </c>
      <c r="M36" s="19">
        <f t="shared" si="9"/>
        <v>196</v>
      </c>
      <c r="N36" s="19">
        <f t="shared" si="10"/>
        <v>-1104</v>
      </c>
      <c r="O36" s="19">
        <f t="shared" si="7"/>
        <v>-42914</v>
      </c>
      <c r="P36" s="20">
        <f t="shared" si="11"/>
        <v>0.46666666666666667</v>
      </c>
      <c r="Q36" s="20">
        <f t="shared" si="12"/>
        <v>-2.6285714285714286</v>
      </c>
      <c r="R36" s="21">
        <f>Parameters!$B$22</f>
        <v>15</v>
      </c>
      <c r="S36" s="21">
        <f>Parameters!$B$20</f>
        <v>8</v>
      </c>
      <c r="T36" s="21">
        <f>Parameters!$B$14</f>
        <v>90</v>
      </c>
      <c r="U36" s="19">
        <f>IF(Parameters!$B$17&lt;&gt;0,(Parameters!$B$22-Parameters!$B$20)/Parameters!$B$17,0)</f>
        <v>77.777777777777786</v>
      </c>
      <c r="V36" s="22">
        <f>IF((Parameters!$B$22-Parameters!$B$20)&gt;0,Parameters!$B$14/(Parameters!$B$22-Parameters!$B$20),999)</f>
        <v>12.857142857142858</v>
      </c>
      <c r="W36" s="23">
        <f>IF(Parameters!$B$14&lt;&gt;0,IF(Parameters!$B$17&lt;&gt;0,(Parameters!$B$22-Parameters!$B$20)/(Parameters!$B$17*Parameters!$B$14),0),0)</f>
        <v>0.86419753086419759</v>
      </c>
      <c r="X36" s="24">
        <f t="shared" si="13"/>
        <v>0</v>
      </c>
    </row>
    <row r="37" spans="1:24" ht="15" customHeight="1" x14ac:dyDescent="0.3">
      <c r="A37" s="16">
        <v>36</v>
      </c>
      <c r="B37" s="17" t="s">
        <v>104</v>
      </c>
      <c r="C37" s="17" t="s">
        <v>2</v>
      </c>
      <c r="D37" s="18">
        <f t="shared" si="6"/>
        <v>28</v>
      </c>
      <c r="E37" s="18">
        <f>ROUND(I37/Parameters!$B$14,0)</f>
        <v>3</v>
      </c>
      <c r="F37" s="18">
        <f>ROUND(D36*Parameters!$B$16,0)</f>
        <v>0</v>
      </c>
      <c r="G37" s="18">
        <f>ROUND(D36*Parameters!$B$17,0)</f>
        <v>3</v>
      </c>
      <c r="H37" s="19">
        <f>D37*Parameters!$B$22</f>
        <v>420</v>
      </c>
      <c r="I37" s="19">
        <f>MAX(Parameters!$B$13,H36*Parameters!$B$12)</f>
        <v>300</v>
      </c>
      <c r="J37" s="19">
        <f>D37*Parameters!$B$20</f>
        <v>224</v>
      </c>
      <c r="K37" s="19">
        <f>IF(D37&lt;=100,Parameters!$B$6,IF(D37&lt;=500,Parameters!$B$7,IF(D37&lt;=2000,Parameters!$B$8,IF(D37&lt;=10000,Parameters!$B$9,Parameters!$B$10))))</f>
        <v>1000</v>
      </c>
      <c r="L37" s="19">
        <f t="shared" si="8"/>
        <v>1524</v>
      </c>
      <c r="M37" s="19">
        <f t="shared" si="9"/>
        <v>196</v>
      </c>
      <c r="N37" s="19">
        <f t="shared" si="10"/>
        <v>-1104</v>
      </c>
      <c r="O37" s="19">
        <f t="shared" si="7"/>
        <v>-44018</v>
      </c>
      <c r="P37" s="20">
        <f t="shared" si="11"/>
        <v>0.46666666666666667</v>
      </c>
      <c r="Q37" s="20">
        <f t="shared" si="12"/>
        <v>-2.6285714285714286</v>
      </c>
      <c r="R37" s="21">
        <f>Parameters!$B$22</f>
        <v>15</v>
      </c>
      <c r="S37" s="21">
        <f>Parameters!$B$20</f>
        <v>8</v>
      </c>
      <c r="T37" s="21">
        <f>Parameters!$B$14</f>
        <v>90</v>
      </c>
      <c r="U37" s="19">
        <f>IF(Parameters!$B$17&lt;&gt;0,(Parameters!$B$22-Parameters!$B$20)/Parameters!$B$17,0)</f>
        <v>77.777777777777786</v>
      </c>
      <c r="V37" s="22">
        <f>IF((Parameters!$B$22-Parameters!$B$20)&gt;0,Parameters!$B$14/(Parameters!$B$22-Parameters!$B$20),999)</f>
        <v>12.857142857142858</v>
      </c>
      <c r="W37" s="23">
        <f>IF(Parameters!$B$14&lt;&gt;0,IF(Parameters!$B$17&lt;&gt;0,(Parameters!$B$22-Parameters!$B$20)/(Parameters!$B$17*Parameters!$B$14),0),0)</f>
        <v>0.86419753086419759</v>
      </c>
      <c r="X37" s="24">
        <f t="shared" si="13"/>
        <v>0</v>
      </c>
    </row>
    <row r="38" spans="1:24" ht="15" customHeight="1" x14ac:dyDescent="0.3">
      <c r="A38" s="25">
        <v>1</v>
      </c>
      <c r="B38" s="26" t="s">
        <v>69</v>
      </c>
      <c r="C38" s="26" t="s">
        <v>3</v>
      </c>
      <c r="D38" s="27">
        <f>MAX(0,Parameters!$C$18+E38+F38-G38)</f>
        <v>10</v>
      </c>
      <c r="E38" s="27">
        <f>ROUND(I38/Parameters!$C$14,0)</f>
        <v>10</v>
      </c>
      <c r="F38" s="27">
        <f>ROUND(Parameters!$C$18*Parameters!$C$16,0)</f>
        <v>0</v>
      </c>
      <c r="G38" s="27">
        <f>ROUND(Parameters!$C$18*Parameters!$C$17,0)</f>
        <v>0</v>
      </c>
      <c r="H38" s="28">
        <f>D38*Parameters!$C$22</f>
        <v>230</v>
      </c>
      <c r="I38" s="28">
        <f>MAX(Parameters!$C$13,0)</f>
        <v>600</v>
      </c>
      <c r="J38" s="28">
        <f>D38*Parameters!$C$20</f>
        <v>70</v>
      </c>
      <c r="K38" s="28">
        <f>IF(D38&lt;=100,Parameters!$B$6,IF(D38&lt;=500,Parameters!$B$7,IF(D38&lt;=2000,Parameters!$B$8,IF(D38&lt;=10000,Parameters!$B$9,Parameters!$B$10))))</f>
        <v>1000</v>
      </c>
      <c r="L38" s="28">
        <f t="shared" si="8"/>
        <v>1670</v>
      </c>
      <c r="M38" s="28">
        <f t="shared" si="9"/>
        <v>160</v>
      </c>
      <c r="N38" s="28">
        <f t="shared" si="10"/>
        <v>-1440</v>
      </c>
      <c r="O38" s="28">
        <f>N38-Parameters!$C$4</f>
        <v>-3440</v>
      </c>
      <c r="P38" s="29">
        <f t="shared" si="11"/>
        <v>0.69565217391304346</v>
      </c>
      <c r="Q38" s="29">
        <f t="shared" si="12"/>
        <v>-6.2608695652173916</v>
      </c>
      <c r="R38" s="30">
        <f>Parameters!$C$22</f>
        <v>23</v>
      </c>
      <c r="S38" s="30">
        <f>Parameters!$C$20</f>
        <v>7</v>
      </c>
      <c r="T38" s="30">
        <f>Parameters!$C$14</f>
        <v>60</v>
      </c>
      <c r="U38" s="28">
        <f>IF(Parameters!$C$17&lt;&gt;0,(Parameters!$C$22-Parameters!$C$20)/Parameters!$C$17,0)</f>
        <v>266.66666666666669</v>
      </c>
      <c r="V38" s="31">
        <f>IF((Parameters!$C$22-Parameters!$C$20)&gt;0,Parameters!$C$14/(Parameters!$C$22-Parameters!$C$20),999)</f>
        <v>3.75</v>
      </c>
      <c r="W38" s="32">
        <f>IF(Parameters!$C$14&lt;&gt;0,IF(Parameters!$C$17&lt;&gt;0,(Parameters!$C$22-Parameters!$C$20)/(Parameters!$C$17*Parameters!$C$14),0),0)</f>
        <v>4.4444444444444446</v>
      </c>
      <c r="X38" s="33">
        <f t="shared" si="13"/>
        <v>0</v>
      </c>
    </row>
    <row r="39" spans="1:24" ht="15" customHeight="1" x14ac:dyDescent="0.3">
      <c r="A39" s="25">
        <v>2</v>
      </c>
      <c r="B39" s="26" t="s">
        <v>70</v>
      </c>
      <c r="C39" s="26" t="s">
        <v>3</v>
      </c>
      <c r="D39" s="27">
        <f t="shared" ref="D39:D73" si="14">MAX(0,D38+E39+F39-G39)</f>
        <v>19</v>
      </c>
      <c r="E39" s="27">
        <f>ROUND(I39/Parameters!$C$14,0)</f>
        <v>10</v>
      </c>
      <c r="F39" s="27">
        <f>ROUND(D38*Parameters!$C$16,0)</f>
        <v>0</v>
      </c>
      <c r="G39" s="27">
        <f>ROUND(D38*Parameters!$C$17,0)</f>
        <v>1</v>
      </c>
      <c r="H39" s="28">
        <f>D39*Parameters!$C$22</f>
        <v>437</v>
      </c>
      <c r="I39" s="28">
        <f>MAX(Parameters!$C$13,H38*Parameters!$C$12)</f>
        <v>600</v>
      </c>
      <c r="J39" s="28">
        <f>D39*Parameters!$C$20</f>
        <v>133</v>
      </c>
      <c r="K39" s="28">
        <f>IF(D39&lt;=100,Parameters!$B$6,IF(D39&lt;=500,Parameters!$B$7,IF(D39&lt;=2000,Parameters!$B$8,IF(D39&lt;=10000,Parameters!$B$9,Parameters!$B$10))))</f>
        <v>1000</v>
      </c>
      <c r="L39" s="28">
        <f t="shared" si="8"/>
        <v>1733</v>
      </c>
      <c r="M39" s="28">
        <f t="shared" si="9"/>
        <v>304</v>
      </c>
      <c r="N39" s="28">
        <f t="shared" si="10"/>
        <v>-1296</v>
      </c>
      <c r="O39" s="28">
        <f t="shared" ref="O39:O73" si="15">O38+N39</f>
        <v>-4736</v>
      </c>
      <c r="P39" s="29">
        <f t="shared" si="11"/>
        <v>0.69565217391304346</v>
      </c>
      <c r="Q39" s="29">
        <f t="shared" si="12"/>
        <v>-2.9656750572082382</v>
      </c>
      <c r="R39" s="30">
        <f>Parameters!$C$22</f>
        <v>23</v>
      </c>
      <c r="S39" s="30">
        <f>Parameters!$C$20</f>
        <v>7</v>
      </c>
      <c r="T39" s="30">
        <f>Parameters!$C$14</f>
        <v>60</v>
      </c>
      <c r="U39" s="28">
        <f>IF(Parameters!$C$17&lt;&gt;0,(Parameters!$C$22-Parameters!$C$20)/Parameters!$C$17,0)</f>
        <v>266.66666666666669</v>
      </c>
      <c r="V39" s="31">
        <f>IF((Parameters!$C$22-Parameters!$C$20)&gt;0,Parameters!$C$14/(Parameters!$C$22-Parameters!$C$20),999)</f>
        <v>3.75</v>
      </c>
      <c r="W39" s="32">
        <f>IF(Parameters!$C$14&lt;&gt;0,IF(Parameters!$C$17&lt;&gt;0,(Parameters!$C$22-Parameters!$C$20)/(Parameters!$C$17*Parameters!$C$14),0),0)</f>
        <v>4.4444444444444446</v>
      </c>
      <c r="X39" s="33">
        <f t="shared" si="13"/>
        <v>0</v>
      </c>
    </row>
    <row r="40" spans="1:24" ht="15" customHeight="1" x14ac:dyDescent="0.3">
      <c r="A40" s="25">
        <v>3</v>
      </c>
      <c r="B40" s="26" t="s">
        <v>71</v>
      </c>
      <c r="C40" s="26" t="s">
        <v>3</v>
      </c>
      <c r="D40" s="27">
        <f t="shared" si="14"/>
        <v>29</v>
      </c>
      <c r="E40" s="27">
        <f>ROUND(I40/Parameters!$C$14,0)</f>
        <v>10</v>
      </c>
      <c r="F40" s="27">
        <f>ROUND(D39*Parameters!$C$16,0)</f>
        <v>1</v>
      </c>
      <c r="G40" s="27">
        <f>ROUND(D39*Parameters!$C$17,0)</f>
        <v>1</v>
      </c>
      <c r="H40" s="28">
        <f>D40*Parameters!$C$22</f>
        <v>667</v>
      </c>
      <c r="I40" s="28">
        <f>MAX(Parameters!$C$13,H39*Parameters!$C$12)</f>
        <v>600</v>
      </c>
      <c r="J40" s="28">
        <f>D40*Parameters!$C$20</f>
        <v>203</v>
      </c>
      <c r="K40" s="28">
        <f>IF(D40&lt;=100,Parameters!$B$6,IF(D40&lt;=500,Parameters!$B$7,IF(D40&lt;=2000,Parameters!$B$8,IF(D40&lt;=10000,Parameters!$B$9,Parameters!$B$10))))</f>
        <v>1000</v>
      </c>
      <c r="L40" s="28">
        <f t="shared" si="8"/>
        <v>1803</v>
      </c>
      <c r="M40" s="28">
        <f t="shared" si="9"/>
        <v>464</v>
      </c>
      <c r="N40" s="28">
        <f t="shared" si="10"/>
        <v>-1136</v>
      </c>
      <c r="O40" s="28">
        <f t="shared" si="15"/>
        <v>-5872</v>
      </c>
      <c r="P40" s="29">
        <f t="shared" si="11"/>
        <v>0.69565217391304346</v>
      </c>
      <c r="Q40" s="29">
        <f t="shared" si="12"/>
        <v>-1.7031484257871063</v>
      </c>
      <c r="R40" s="30">
        <f>Parameters!$C$22</f>
        <v>23</v>
      </c>
      <c r="S40" s="30">
        <f>Parameters!$C$20</f>
        <v>7</v>
      </c>
      <c r="T40" s="30">
        <f>Parameters!$C$14</f>
        <v>60</v>
      </c>
      <c r="U40" s="28">
        <f>IF(Parameters!$C$17&lt;&gt;0,(Parameters!$C$22-Parameters!$C$20)/Parameters!$C$17,0)</f>
        <v>266.66666666666669</v>
      </c>
      <c r="V40" s="31">
        <f>IF((Parameters!$C$22-Parameters!$C$20)&gt;0,Parameters!$C$14/(Parameters!$C$22-Parameters!$C$20),999)</f>
        <v>3.75</v>
      </c>
      <c r="W40" s="32">
        <f>IF(Parameters!$C$14&lt;&gt;0,IF(Parameters!$C$17&lt;&gt;0,(Parameters!$C$22-Parameters!$C$20)/(Parameters!$C$17*Parameters!$C$14),0),0)</f>
        <v>4.4444444444444446</v>
      </c>
      <c r="X40" s="33">
        <f t="shared" si="13"/>
        <v>0</v>
      </c>
    </row>
    <row r="41" spans="1:24" ht="15" customHeight="1" x14ac:dyDescent="0.3">
      <c r="A41" s="25">
        <v>4</v>
      </c>
      <c r="B41" s="26" t="s">
        <v>72</v>
      </c>
      <c r="C41" s="26" t="s">
        <v>3</v>
      </c>
      <c r="D41" s="27">
        <f t="shared" si="14"/>
        <v>38</v>
      </c>
      <c r="E41" s="27">
        <f>ROUND(I41/Parameters!$C$14,0)</f>
        <v>10</v>
      </c>
      <c r="F41" s="27">
        <f>ROUND(D40*Parameters!$C$16,0)</f>
        <v>1</v>
      </c>
      <c r="G41" s="27">
        <f>ROUND(D40*Parameters!$C$17,0)</f>
        <v>2</v>
      </c>
      <c r="H41" s="28">
        <f>D41*Parameters!$C$22</f>
        <v>874</v>
      </c>
      <c r="I41" s="28">
        <f>MAX(Parameters!$C$13,H40*Parameters!$C$12)</f>
        <v>600</v>
      </c>
      <c r="J41" s="28">
        <f>D41*Parameters!$C$20</f>
        <v>266</v>
      </c>
      <c r="K41" s="28">
        <f>IF(D41&lt;=100,Parameters!$B$6,IF(D41&lt;=500,Parameters!$B$7,IF(D41&lt;=2000,Parameters!$B$8,IF(D41&lt;=10000,Parameters!$B$9,Parameters!$B$10))))</f>
        <v>1000</v>
      </c>
      <c r="L41" s="28">
        <f t="shared" si="8"/>
        <v>1866</v>
      </c>
      <c r="M41" s="28">
        <f t="shared" si="9"/>
        <v>608</v>
      </c>
      <c r="N41" s="28">
        <f t="shared" si="10"/>
        <v>-992</v>
      </c>
      <c r="O41" s="28">
        <f t="shared" si="15"/>
        <v>-6864</v>
      </c>
      <c r="P41" s="29">
        <f t="shared" si="11"/>
        <v>0.69565217391304346</v>
      </c>
      <c r="Q41" s="29">
        <f t="shared" si="12"/>
        <v>-1.1350114416475972</v>
      </c>
      <c r="R41" s="30">
        <f>Parameters!$C$22</f>
        <v>23</v>
      </c>
      <c r="S41" s="30">
        <f>Parameters!$C$20</f>
        <v>7</v>
      </c>
      <c r="T41" s="30">
        <f>Parameters!$C$14</f>
        <v>60</v>
      </c>
      <c r="U41" s="28">
        <f>IF(Parameters!$C$17&lt;&gt;0,(Parameters!$C$22-Parameters!$C$20)/Parameters!$C$17,0)</f>
        <v>266.66666666666669</v>
      </c>
      <c r="V41" s="31">
        <f>IF((Parameters!$C$22-Parameters!$C$20)&gt;0,Parameters!$C$14/(Parameters!$C$22-Parameters!$C$20),999)</f>
        <v>3.75</v>
      </c>
      <c r="W41" s="32">
        <f>IF(Parameters!$C$14&lt;&gt;0,IF(Parameters!$C$17&lt;&gt;0,(Parameters!$C$22-Parameters!$C$20)/(Parameters!$C$17*Parameters!$C$14),0),0)</f>
        <v>4.4444444444444446</v>
      </c>
      <c r="X41" s="33">
        <f t="shared" si="13"/>
        <v>0</v>
      </c>
    </row>
    <row r="42" spans="1:24" ht="15" customHeight="1" x14ac:dyDescent="0.3">
      <c r="A42" s="25">
        <v>5</v>
      </c>
      <c r="B42" s="26" t="s">
        <v>73</v>
      </c>
      <c r="C42" s="26" t="s">
        <v>3</v>
      </c>
      <c r="D42" s="27">
        <f t="shared" si="14"/>
        <v>47</v>
      </c>
      <c r="E42" s="27">
        <f>ROUND(I42/Parameters!$C$14,0)</f>
        <v>10</v>
      </c>
      <c r="F42" s="27">
        <f>ROUND(D41*Parameters!$C$16,0)</f>
        <v>1</v>
      </c>
      <c r="G42" s="27">
        <f>ROUND(D41*Parameters!$C$17,0)</f>
        <v>2</v>
      </c>
      <c r="H42" s="28">
        <f>D42*Parameters!$C$22</f>
        <v>1081</v>
      </c>
      <c r="I42" s="28">
        <f>MAX(Parameters!$C$13,H41*Parameters!$C$12)</f>
        <v>600</v>
      </c>
      <c r="J42" s="28">
        <f>D42*Parameters!$C$20</f>
        <v>329</v>
      </c>
      <c r="K42" s="28">
        <f>IF(D42&lt;=100,Parameters!$B$6,IF(D42&lt;=500,Parameters!$B$7,IF(D42&lt;=2000,Parameters!$B$8,IF(D42&lt;=10000,Parameters!$B$9,Parameters!$B$10))))</f>
        <v>1000</v>
      </c>
      <c r="L42" s="28">
        <f t="shared" si="8"/>
        <v>1929</v>
      </c>
      <c r="M42" s="28">
        <f t="shared" si="9"/>
        <v>752</v>
      </c>
      <c r="N42" s="28">
        <f t="shared" si="10"/>
        <v>-848</v>
      </c>
      <c r="O42" s="28">
        <f t="shared" si="15"/>
        <v>-7712</v>
      </c>
      <c r="P42" s="29">
        <f t="shared" si="11"/>
        <v>0.69565217391304346</v>
      </c>
      <c r="Q42" s="29">
        <f t="shared" si="12"/>
        <v>-0.78445883441258091</v>
      </c>
      <c r="R42" s="30">
        <f>Parameters!$C$22</f>
        <v>23</v>
      </c>
      <c r="S42" s="30">
        <f>Parameters!$C$20</f>
        <v>7</v>
      </c>
      <c r="T42" s="30">
        <f>Parameters!$C$14</f>
        <v>60</v>
      </c>
      <c r="U42" s="28">
        <f>IF(Parameters!$C$17&lt;&gt;0,(Parameters!$C$22-Parameters!$C$20)/Parameters!$C$17,0)</f>
        <v>266.66666666666669</v>
      </c>
      <c r="V42" s="31">
        <f>IF((Parameters!$C$22-Parameters!$C$20)&gt;0,Parameters!$C$14/(Parameters!$C$22-Parameters!$C$20),999)</f>
        <v>3.75</v>
      </c>
      <c r="W42" s="32">
        <f>IF(Parameters!$C$14&lt;&gt;0,IF(Parameters!$C$17&lt;&gt;0,(Parameters!$C$22-Parameters!$C$20)/(Parameters!$C$17*Parameters!$C$14),0),0)</f>
        <v>4.4444444444444446</v>
      </c>
      <c r="X42" s="33">
        <f t="shared" si="13"/>
        <v>0</v>
      </c>
    </row>
    <row r="43" spans="1:24" ht="15" customHeight="1" x14ac:dyDescent="0.3">
      <c r="A43" s="25">
        <v>6</v>
      </c>
      <c r="B43" s="26" t="s">
        <v>74</v>
      </c>
      <c r="C43" s="26" t="s">
        <v>3</v>
      </c>
      <c r="D43" s="27">
        <f t="shared" si="14"/>
        <v>55</v>
      </c>
      <c r="E43" s="27">
        <f>ROUND(I43/Parameters!$C$14,0)</f>
        <v>10</v>
      </c>
      <c r="F43" s="27">
        <f>ROUND(D42*Parameters!$C$16,0)</f>
        <v>1</v>
      </c>
      <c r="G43" s="27">
        <f>ROUND(D42*Parameters!$C$17,0)</f>
        <v>3</v>
      </c>
      <c r="H43" s="28">
        <f>D43*Parameters!$C$22</f>
        <v>1265</v>
      </c>
      <c r="I43" s="28">
        <f>MAX(Parameters!$C$13,H42*Parameters!$C$12)</f>
        <v>600</v>
      </c>
      <c r="J43" s="28">
        <f>D43*Parameters!$C$20</f>
        <v>385</v>
      </c>
      <c r="K43" s="28">
        <f>IF(D43&lt;=100,Parameters!$B$6,IF(D43&lt;=500,Parameters!$B$7,IF(D43&lt;=2000,Parameters!$B$8,IF(D43&lt;=10000,Parameters!$B$9,Parameters!$B$10))))</f>
        <v>1000</v>
      </c>
      <c r="L43" s="28">
        <f t="shared" si="8"/>
        <v>1985</v>
      </c>
      <c r="M43" s="28">
        <f t="shared" si="9"/>
        <v>880</v>
      </c>
      <c r="N43" s="28">
        <f t="shared" si="10"/>
        <v>-720</v>
      </c>
      <c r="O43" s="28">
        <f t="shared" si="15"/>
        <v>-8432</v>
      </c>
      <c r="P43" s="29">
        <f t="shared" si="11"/>
        <v>0.69565217391304346</v>
      </c>
      <c r="Q43" s="29">
        <f t="shared" si="12"/>
        <v>-0.56916996047430835</v>
      </c>
      <c r="R43" s="30">
        <f>Parameters!$C$22</f>
        <v>23</v>
      </c>
      <c r="S43" s="30">
        <f>Parameters!$C$20</f>
        <v>7</v>
      </c>
      <c r="T43" s="30">
        <f>Parameters!$C$14</f>
        <v>60</v>
      </c>
      <c r="U43" s="28">
        <f>IF(Parameters!$C$17&lt;&gt;0,(Parameters!$C$22-Parameters!$C$20)/Parameters!$C$17,0)</f>
        <v>266.66666666666669</v>
      </c>
      <c r="V43" s="31">
        <f>IF((Parameters!$C$22-Parameters!$C$20)&gt;0,Parameters!$C$14/(Parameters!$C$22-Parameters!$C$20),999)</f>
        <v>3.75</v>
      </c>
      <c r="W43" s="32">
        <f>IF(Parameters!$C$14&lt;&gt;0,IF(Parameters!$C$17&lt;&gt;0,(Parameters!$C$22-Parameters!$C$20)/(Parameters!$C$17*Parameters!$C$14),0),0)</f>
        <v>4.4444444444444446</v>
      </c>
      <c r="X43" s="33">
        <f t="shared" si="13"/>
        <v>0</v>
      </c>
    </row>
    <row r="44" spans="1:24" ht="15" customHeight="1" x14ac:dyDescent="0.3">
      <c r="A44" s="25">
        <v>7</v>
      </c>
      <c r="B44" s="26" t="s">
        <v>75</v>
      </c>
      <c r="C44" s="26" t="s">
        <v>3</v>
      </c>
      <c r="D44" s="27">
        <f t="shared" si="14"/>
        <v>64</v>
      </c>
      <c r="E44" s="27">
        <f>ROUND(I44/Parameters!$C$14,0)</f>
        <v>10</v>
      </c>
      <c r="F44" s="27">
        <f>ROUND(D43*Parameters!$C$16,0)</f>
        <v>2</v>
      </c>
      <c r="G44" s="27">
        <f>ROUND(D43*Parameters!$C$17,0)</f>
        <v>3</v>
      </c>
      <c r="H44" s="28">
        <f>D44*Parameters!$C$22</f>
        <v>1472</v>
      </c>
      <c r="I44" s="28">
        <f>MAX(Parameters!$C$13,H43*Parameters!$C$12)</f>
        <v>600</v>
      </c>
      <c r="J44" s="28">
        <f>D44*Parameters!$C$20</f>
        <v>448</v>
      </c>
      <c r="K44" s="28">
        <f>IF(D44&lt;=100,Parameters!$B$6,IF(D44&lt;=500,Parameters!$B$7,IF(D44&lt;=2000,Parameters!$B$8,IF(D44&lt;=10000,Parameters!$B$9,Parameters!$B$10))))</f>
        <v>1000</v>
      </c>
      <c r="L44" s="28">
        <f t="shared" si="8"/>
        <v>2048</v>
      </c>
      <c r="M44" s="28">
        <f t="shared" si="9"/>
        <v>1024</v>
      </c>
      <c r="N44" s="28">
        <f t="shared" si="10"/>
        <v>-576</v>
      </c>
      <c r="O44" s="28">
        <f t="shared" si="15"/>
        <v>-9008</v>
      </c>
      <c r="P44" s="29">
        <f t="shared" si="11"/>
        <v>0.69565217391304346</v>
      </c>
      <c r="Q44" s="29">
        <f t="shared" si="12"/>
        <v>-0.39130434782608697</v>
      </c>
      <c r="R44" s="30">
        <f>Parameters!$C$22</f>
        <v>23</v>
      </c>
      <c r="S44" s="30">
        <f>Parameters!$C$20</f>
        <v>7</v>
      </c>
      <c r="T44" s="30">
        <f>Parameters!$C$14</f>
        <v>60</v>
      </c>
      <c r="U44" s="28">
        <f>IF(Parameters!$C$17&lt;&gt;0,(Parameters!$C$22-Parameters!$C$20)/Parameters!$C$17,0)</f>
        <v>266.66666666666669</v>
      </c>
      <c r="V44" s="31">
        <f>IF((Parameters!$C$22-Parameters!$C$20)&gt;0,Parameters!$C$14/(Parameters!$C$22-Parameters!$C$20),999)</f>
        <v>3.75</v>
      </c>
      <c r="W44" s="32">
        <f>IF(Parameters!$C$14&lt;&gt;0,IF(Parameters!$C$17&lt;&gt;0,(Parameters!$C$22-Parameters!$C$20)/(Parameters!$C$17*Parameters!$C$14),0),0)</f>
        <v>4.4444444444444446</v>
      </c>
      <c r="X44" s="33">
        <f t="shared" si="13"/>
        <v>0</v>
      </c>
    </row>
    <row r="45" spans="1:24" ht="15" customHeight="1" x14ac:dyDescent="0.3">
      <c r="A45" s="25">
        <v>8</v>
      </c>
      <c r="B45" s="26" t="s">
        <v>76</v>
      </c>
      <c r="C45" s="26" t="s">
        <v>3</v>
      </c>
      <c r="D45" s="27">
        <f t="shared" si="14"/>
        <v>72</v>
      </c>
      <c r="E45" s="27">
        <f>ROUND(I45/Parameters!$C$14,0)</f>
        <v>10</v>
      </c>
      <c r="F45" s="27">
        <f>ROUND(D44*Parameters!$C$16,0)</f>
        <v>2</v>
      </c>
      <c r="G45" s="27">
        <f>ROUND(D44*Parameters!$C$17,0)</f>
        <v>4</v>
      </c>
      <c r="H45" s="28">
        <f>D45*Parameters!$C$22</f>
        <v>1656</v>
      </c>
      <c r="I45" s="28">
        <f>MAX(Parameters!$C$13,H44*Parameters!$C$12)</f>
        <v>600</v>
      </c>
      <c r="J45" s="28">
        <f>D45*Parameters!$C$20</f>
        <v>504</v>
      </c>
      <c r="K45" s="28">
        <f>IF(D45&lt;=100,Parameters!$B$6,IF(D45&lt;=500,Parameters!$B$7,IF(D45&lt;=2000,Parameters!$B$8,IF(D45&lt;=10000,Parameters!$B$9,Parameters!$B$10))))</f>
        <v>1000</v>
      </c>
      <c r="L45" s="28">
        <f t="shared" si="8"/>
        <v>2104</v>
      </c>
      <c r="M45" s="28">
        <f t="shared" si="9"/>
        <v>1152</v>
      </c>
      <c r="N45" s="28">
        <f t="shared" si="10"/>
        <v>-448</v>
      </c>
      <c r="O45" s="28">
        <f t="shared" si="15"/>
        <v>-9456</v>
      </c>
      <c r="P45" s="29">
        <f t="shared" si="11"/>
        <v>0.69565217391304346</v>
      </c>
      <c r="Q45" s="29">
        <f t="shared" si="12"/>
        <v>-0.27053140096618356</v>
      </c>
      <c r="R45" s="30">
        <f>Parameters!$C$22</f>
        <v>23</v>
      </c>
      <c r="S45" s="30">
        <f>Parameters!$C$20</f>
        <v>7</v>
      </c>
      <c r="T45" s="30">
        <f>Parameters!$C$14</f>
        <v>60</v>
      </c>
      <c r="U45" s="28">
        <f>IF(Parameters!$C$17&lt;&gt;0,(Parameters!$C$22-Parameters!$C$20)/Parameters!$C$17,0)</f>
        <v>266.66666666666669</v>
      </c>
      <c r="V45" s="31">
        <f>IF((Parameters!$C$22-Parameters!$C$20)&gt;0,Parameters!$C$14/(Parameters!$C$22-Parameters!$C$20),999)</f>
        <v>3.75</v>
      </c>
      <c r="W45" s="32">
        <f>IF(Parameters!$C$14&lt;&gt;0,IF(Parameters!$C$17&lt;&gt;0,(Parameters!$C$22-Parameters!$C$20)/(Parameters!$C$17*Parameters!$C$14),0),0)</f>
        <v>4.4444444444444446</v>
      </c>
      <c r="X45" s="33">
        <f t="shared" si="13"/>
        <v>0</v>
      </c>
    </row>
    <row r="46" spans="1:24" ht="15" customHeight="1" x14ac:dyDescent="0.3">
      <c r="A46" s="25">
        <v>9</v>
      </c>
      <c r="B46" s="26" t="s">
        <v>77</v>
      </c>
      <c r="C46" s="26" t="s">
        <v>3</v>
      </c>
      <c r="D46" s="27">
        <f t="shared" si="14"/>
        <v>80</v>
      </c>
      <c r="E46" s="27">
        <f>ROUND(I46/Parameters!$C$14,0)</f>
        <v>10</v>
      </c>
      <c r="F46" s="27">
        <f>ROUND(D45*Parameters!$C$16,0)</f>
        <v>2</v>
      </c>
      <c r="G46" s="27">
        <f>ROUND(D45*Parameters!$C$17,0)</f>
        <v>4</v>
      </c>
      <c r="H46" s="28">
        <f>D46*Parameters!$C$22</f>
        <v>1840</v>
      </c>
      <c r="I46" s="28">
        <f>MAX(Parameters!$C$13,H45*Parameters!$C$12)</f>
        <v>600</v>
      </c>
      <c r="J46" s="28">
        <f>D46*Parameters!$C$20</f>
        <v>560</v>
      </c>
      <c r="K46" s="28">
        <f>IF(D46&lt;=100,Parameters!$B$6,IF(D46&lt;=500,Parameters!$B$7,IF(D46&lt;=2000,Parameters!$B$8,IF(D46&lt;=10000,Parameters!$B$9,Parameters!$B$10))))</f>
        <v>1000</v>
      </c>
      <c r="L46" s="28">
        <f t="shared" si="8"/>
        <v>2160</v>
      </c>
      <c r="M46" s="28">
        <f t="shared" si="9"/>
        <v>1280</v>
      </c>
      <c r="N46" s="28">
        <f t="shared" si="10"/>
        <v>-320</v>
      </c>
      <c r="O46" s="28">
        <f t="shared" si="15"/>
        <v>-9776</v>
      </c>
      <c r="P46" s="29">
        <f t="shared" si="11"/>
        <v>0.69565217391304346</v>
      </c>
      <c r="Q46" s="29">
        <f t="shared" si="12"/>
        <v>-0.17391304347826086</v>
      </c>
      <c r="R46" s="30">
        <f>Parameters!$C$22</f>
        <v>23</v>
      </c>
      <c r="S46" s="30">
        <f>Parameters!$C$20</f>
        <v>7</v>
      </c>
      <c r="T46" s="30">
        <f>Parameters!$C$14</f>
        <v>60</v>
      </c>
      <c r="U46" s="28">
        <f>IF(Parameters!$C$17&lt;&gt;0,(Parameters!$C$22-Parameters!$C$20)/Parameters!$C$17,0)</f>
        <v>266.66666666666669</v>
      </c>
      <c r="V46" s="31">
        <f>IF((Parameters!$C$22-Parameters!$C$20)&gt;0,Parameters!$C$14/(Parameters!$C$22-Parameters!$C$20),999)</f>
        <v>3.75</v>
      </c>
      <c r="W46" s="32">
        <f>IF(Parameters!$C$14&lt;&gt;0,IF(Parameters!$C$17&lt;&gt;0,(Parameters!$C$22-Parameters!$C$20)/(Parameters!$C$17*Parameters!$C$14),0),0)</f>
        <v>4.4444444444444446</v>
      </c>
      <c r="X46" s="33">
        <f t="shared" si="13"/>
        <v>0</v>
      </c>
    </row>
    <row r="47" spans="1:24" ht="15" customHeight="1" x14ac:dyDescent="0.3">
      <c r="A47" s="25">
        <v>10</v>
      </c>
      <c r="B47" s="26" t="s">
        <v>78</v>
      </c>
      <c r="C47" s="26" t="s">
        <v>3</v>
      </c>
      <c r="D47" s="27">
        <f t="shared" si="14"/>
        <v>88</v>
      </c>
      <c r="E47" s="27">
        <f>ROUND(I47/Parameters!$C$14,0)</f>
        <v>11</v>
      </c>
      <c r="F47" s="27">
        <f>ROUND(D46*Parameters!$C$16,0)</f>
        <v>2</v>
      </c>
      <c r="G47" s="27">
        <f>ROUND(D46*Parameters!$C$17,0)</f>
        <v>5</v>
      </c>
      <c r="H47" s="28">
        <f>D47*Parameters!$C$22</f>
        <v>2024</v>
      </c>
      <c r="I47" s="28">
        <f>MAX(Parameters!$C$13,H46*Parameters!$C$12)</f>
        <v>644</v>
      </c>
      <c r="J47" s="28">
        <f>D47*Parameters!$C$20</f>
        <v>616</v>
      </c>
      <c r="K47" s="28">
        <f>IF(D47&lt;=100,Parameters!$B$6,IF(D47&lt;=500,Parameters!$B$7,IF(D47&lt;=2000,Parameters!$B$8,IF(D47&lt;=10000,Parameters!$B$9,Parameters!$B$10))))</f>
        <v>1000</v>
      </c>
      <c r="L47" s="28">
        <f t="shared" si="8"/>
        <v>2260</v>
      </c>
      <c r="M47" s="28">
        <f t="shared" si="9"/>
        <v>1408</v>
      </c>
      <c r="N47" s="28">
        <f t="shared" si="10"/>
        <v>-236</v>
      </c>
      <c r="O47" s="28">
        <f t="shared" si="15"/>
        <v>-10012</v>
      </c>
      <c r="P47" s="29">
        <f t="shared" si="11"/>
        <v>0.69565217391304346</v>
      </c>
      <c r="Q47" s="29">
        <f t="shared" si="12"/>
        <v>-0.116600790513834</v>
      </c>
      <c r="R47" s="30">
        <f>Parameters!$C$22</f>
        <v>23</v>
      </c>
      <c r="S47" s="30">
        <f>Parameters!$C$20</f>
        <v>7</v>
      </c>
      <c r="T47" s="30">
        <f>Parameters!$C$14</f>
        <v>60</v>
      </c>
      <c r="U47" s="28">
        <f>IF(Parameters!$C$17&lt;&gt;0,(Parameters!$C$22-Parameters!$C$20)/Parameters!$C$17,0)</f>
        <v>266.66666666666669</v>
      </c>
      <c r="V47" s="31">
        <f>IF((Parameters!$C$22-Parameters!$C$20)&gt;0,Parameters!$C$14/(Parameters!$C$22-Parameters!$C$20),999)</f>
        <v>3.75</v>
      </c>
      <c r="W47" s="32">
        <f>IF(Parameters!$C$14&lt;&gt;0,IF(Parameters!$C$17&lt;&gt;0,(Parameters!$C$22-Parameters!$C$20)/(Parameters!$C$17*Parameters!$C$14),0),0)</f>
        <v>4.4444444444444446</v>
      </c>
      <c r="X47" s="33">
        <f t="shared" si="13"/>
        <v>0</v>
      </c>
    </row>
    <row r="48" spans="1:24" ht="15" customHeight="1" x14ac:dyDescent="0.3">
      <c r="A48" s="25">
        <v>11</v>
      </c>
      <c r="B48" s="26" t="s">
        <v>79</v>
      </c>
      <c r="C48" s="26" t="s">
        <v>3</v>
      </c>
      <c r="D48" s="27">
        <f t="shared" si="14"/>
        <v>98</v>
      </c>
      <c r="E48" s="27">
        <f>ROUND(I48/Parameters!$C$14,0)</f>
        <v>12</v>
      </c>
      <c r="F48" s="27">
        <f>ROUND(D47*Parameters!$C$16,0)</f>
        <v>3</v>
      </c>
      <c r="G48" s="27">
        <f>ROUND(D47*Parameters!$C$17,0)</f>
        <v>5</v>
      </c>
      <c r="H48" s="28">
        <f>D48*Parameters!$C$22</f>
        <v>2254</v>
      </c>
      <c r="I48" s="28">
        <f>MAX(Parameters!$C$13,H47*Parameters!$C$12)</f>
        <v>708.4</v>
      </c>
      <c r="J48" s="28">
        <f>D48*Parameters!$C$20</f>
        <v>686</v>
      </c>
      <c r="K48" s="28">
        <f>IF(D48&lt;=100,Parameters!$B$6,IF(D48&lt;=500,Parameters!$B$7,IF(D48&lt;=2000,Parameters!$B$8,IF(D48&lt;=10000,Parameters!$B$9,Parameters!$B$10))))</f>
        <v>1000</v>
      </c>
      <c r="L48" s="28">
        <f t="shared" si="8"/>
        <v>2394.4</v>
      </c>
      <c r="M48" s="28">
        <f t="shared" si="9"/>
        <v>1568</v>
      </c>
      <c r="N48" s="28">
        <f t="shared" si="10"/>
        <v>-140.40000000000009</v>
      </c>
      <c r="O48" s="28">
        <f t="shared" si="15"/>
        <v>-10152.4</v>
      </c>
      <c r="P48" s="29">
        <f t="shared" si="11"/>
        <v>0.69565217391304346</v>
      </c>
      <c r="Q48" s="29">
        <f t="shared" si="12"/>
        <v>-6.2289263531499599E-2</v>
      </c>
      <c r="R48" s="30">
        <f>Parameters!$C$22</f>
        <v>23</v>
      </c>
      <c r="S48" s="30">
        <f>Parameters!$C$20</f>
        <v>7</v>
      </c>
      <c r="T48" s="30">
        <f>Parameters!$C$14</f>
        <v>60</v>
      </c>
      <c r="U48" s="28">
        <f>IF(Parameters!$C$17&lt;&gt;0,(Parameters!$C$22-Parameters!$C$20)/Parameters!$C$17,0)</f>
        <v>266.66666666666669</v>
      </c>
      <c r="V48" s="31">
        <f>IF((Parameters!$C$22-Parameters!$C$20)&gt;0,Parameters!$C$14/(Parameters!$C$22-Parameters!$C$20),999)</f>
        <v>3.75</v>
      </c>
      <c r="W48" s="32">
        <f>IF(Parameters!$C$14&lt;&gt;0,IF(Parameters!$C$17&lt;&gt;0,(Parameters!$C$22-Parameters!$C$20)/(Parameters!$C$17*Parameters!$C$14),0),0)</f>
        <v>4.4444444444444446</v>
      </c>
      <c r="X48" s="33">
        <f t="shared" si="13"/>
        <v>0</v>
      </c>
    </row>
    <row r="49" spans="1:24" ht="15" customHeight="1" x14ac:dyDescent="0.3">
      <c r="A49" s="25">
        <v>12</v>
      </c>
      <c r="B49" s="26" t="s">
        <v>80</v>
      </c>
      <c r="C49" s="26" t="s">
        <v>3</v>
      </c>
      <c r="D49" s="27">
        <f t="shared" si="14"/>
        <v>108</v>
      </c>
      <c r="E49" s="27">
        <f>ROUND(I49/Parameters!$C$14,0)</f>
        <v>13</v>
      </c>
      <c r="F49" s="27">
        <f>ROUND(D48*Parameters!$C$16,0)</f>
        <v>3</v>
      </c>
      <c r="G49" s="27">
        <f>ROUND(D48*Parameters!$C$17,0)</f>
        <v>6</v>
      </c>
      <c r="H49" s="28">
        <f>D49*Parameters!$C$22</f>
        <v>2484</v>
      </c>
      <c r="I49" s="28">
        <f>MAX(Parameters!$C$13,H48*Parameters!$C$12)</f>
        <v>788.9</v>
      </c>
      <c r="J49" s="28">
        <f>D49*Parameters!$C$20</f>
        <v>756</v>
      </c>
      <c r="K49" s="28">
        <f>IF(D49&lt;=100,Parameters!$B$6,IF(D49&lt;=500,Parameters!$B$7,IF(D49&lt;=2000,Parameters!$B$8,IF(D49&lt;=10000,Parameters!$B$9,Parameters!$B$10))))</f>
        <v>2000</v>
      </c>
      <c r="L49" s="28">
        <f t="shared" si="8"/>
        <v>3544.9</v>
      </c>
      <c r="M49" s="28">
        <f t="shared" si="9"/>
        <v>1728</v>
      </c>
      <c r="N49" s="28">
        <f t="shared" si="10"/>
        <v>-1060.9000000000001</v>
      </c>
      <c r="O49" s="28">
        <f t="shared" si="15"/>
        <v>-11213.3</v>
      </c>
      <c r="P49" s="29">
        <f t="shared" si="11"/>
        <v>0.69565217391304346</v>
      </c>
      <c r="Q49" s="29">
        <f t="shared" si="12"/>
        <v>-0.4270933977455717</v>
      </c>
      <c r="R49" s="30">
        <f>Parameters!$C$22</f>
        <v>23</v>
      </c>
      <c r="S49" s="30">
        <f>Parameters!$C$20</f>
        <v>7</v>
      </c>
      <c r="T49" s="30">
        <f>Parameters!$C$14</f>
        <v>60</v>
      </c>
      <c r="U49" s="28">
        <f>IF(Parameters!$C$17&lt;&gt;0,(Parameters!$C$22-Parameters!$C$20)/Parameters!$C$17,0)</f>
        <v>266.66666666666669</v>
      </c>
      <c r="V49" s="31">
        <f>IF((Parameters!$C$22-Parameters!$C$20)&gt;0,Parameters!$C$14/(Parameters!$C$22-Parameters!$C$20),999)</f>
        <v>3.75</v>
      </c>
      <c r="W49" s="32">
        <f>IF(Parameters!$C$14&lt;&gt;0,IF(Parameters!$C$17&lt;&gt;0,(Parameters!$C$22-Parameters!$C$20)/(Parameters!$C$17*Parameters!$C$14),0),0)</f>
        <v>4.4444444444444446</v>
      </c>
      <c r="X49" s="33">
        <f t="shared" si="13"/>
        <v>0</v>
      </c>
    </row>
    <row r="50" spans="1:24" ht="15" customHeight="1" x14ac:dyDescent="0.3">
      <c r="A50" s="25">
        <v>13</v>
      </c>
      <c r="B50" s="26" t="s">
        <v>81</v>
      </c>
      <c r="C50" s="26" t="s">
        <v>3</v>
      </c>
      <c r="D50" s="27">
        <f t="shared" si="14"/>
        <v>119</v>
      </c>
      <c r="E50" s="27">
        <f>ROUND(I50/Parameters!$C$14,0)</f>
        <v>14</v>
      </c>
      <c r="F50" s="27">
        <f>ROUND(D49*Parameters!$C$16,0)</f>
        <v>3</v>
      </c>
      <c r="G50" s="27">
        <f>ROUND(D49*Parameters!$C$17,0)</f>
        <v>6</v>
      </c>
      <c r="H50" s="28">
        <f>D50*Parameters!$C$22</f>
        <v>2737</v>
      </c>
      <c r="I50" s="28">
        <f>MAX(Parameters!$C$13,H49*Parameters!$C$12)</f>
        <v>869.4</v>
      </c>
      <c r="J50" s="28">
        <f>D50*Parameters!$C$20</f>
        <v>833</v>
      </c>
      <c r="K50" s="28">
        <f>IF(D50&lt;=100,Parameters!$B$6,IF(D50&lt;=500,Parameters!$B$7,IF(D50&lt;=2000,Parameters!$B$8,IF(D50&lt;=10000,Parameters!$B$9,Parameters!$B$10))))</f>
        <v>2000</v>
      </c>
      <c r="L50" s="28">
        <f t="shared" si="8"/>
        <v>3702.4</v>
      </c>
      <c r="M50" s="28">
        <f t="shared" si="9"/>
        <v>1904</v>
      </c>
      <c r="N50" s="28">
        <f t="shared" si="10"/>
        <v>-965.40000000000009</v>
      </c>
      <c r="O50" s="28">
        <f t="shared" si="15"/>
        <v>-12178.699999999999</v>
      </c>
      <c r="P50" s="29">
        <f t="shared" si="11"/>
        <v>0.69565217391304346</v>
      </c>
      <c r="Q50" s="29">
        <f t="shared" si="12"/>
        <v>-0.35272195834855685</v>
      </c>
      <c r="R50" s="30">
        <f>Parameters!$C$22</f>
        <v>23</v>
      </c>
      <c r="S50" s="30">
        <f>Parameters!$C$20</f>
        <v>7</v>
      </c>
      <c r="T50" s="30">
        <f>Parameters!$C$14</f>
        <v>60</v>
      </c>
      <c r="U50" s="28">
        <f>IF(Parameters!$C$17&lt;&gt;0,(Parameters!$C$22-Parameters!$C$20)/Parameters!$C$17,0)</f>
        <v>266.66666666666669</v>
      </c>
      <c r="V50" s="31">
        <f>IF((Parameters!$C$22-Parameters!$C$20)&gt;0,Parameters!$C$14/(Parameters!$C$22-Parameters!$C$20),999)</f>
        <v>3.75</v>
      </c>
      <c r="W50" s="32">
        <f>IF(Parameters!$C$14&lt;&gt;0,IF(Parameters!$C$17&lt;&gt;0,(Parameters!$C$22-Parameters!$C$20)/(Parameters!$C$17*Parameters!$C$14),0),0)</f>
        <v>4.4444444444444446</v>
      </c>
      <c r="X50" s="33">
        <f t="shared" si="13"/>
        <v>0</v>
      </c>
    </row>
    <row r="51" spans="1:24" ht="15" customHeight="1" x14ac:dyDescent="0.3">
      <c r="A51" s="25">
        <v>14</v>
      </c>
      <c r="B51" s="26" t="s">
        <v>82</v>
      </c>
      <c r="C51" s="26" t="s">
        <v>3</v>
      </c>
      <c r="D51" s="27">
        <f t="shared" si="14"/>
        <v>132</v>
      </c>
      <c r="E51" s="27">
        <f>ROUND(I51/Parameters!$C$14,0)</f>
        <v>16</v>
      </c>
      <c r="F51" s="27">
        <f>ROUND(D50*Parameters!$C$16,0)</f>
        <v>4</v>
      </c>
      <c r="G51" s="27">
        <f>ROUND(D50*Parameters!$C$17,0)</f>
        <v>7</v>
      </c>
      <c r="H51" s="28">
        <f>D51*Parameters!$C$22</f>
        <v>3036</v>
      </c>
      <c r="I51" s="28">
        <f>MAX(Parameters!$C$13,H50*Parameters!$C$12)</f>
        <v>957.94999999999993</v>
      </c>
      <c r="J51" s="28">
        <f>D51*Parameters!$C$20</f>
        <v>924</v>
      </c>
      <c r="K51" s="28">
        <f>IF(D51&lt;=100,Parameters!$B$6,IF(D51&lt;=500,Parameters!$B$7,IF(D51&lt;=2000,Parameters!$B$8,IF(D51&lt;=10000,Parameters!$B$9,Parameters!$B$10))))</f>
        <v>2000</v>
      </c>
      <c r="L51" s="28">
        <f t="shared" si="8"/>
        <v>3881.95</v>
      </c>
      <c r="M51" s="28">
        <f t="shared" si="9"/>
        <v>2112</v>
      </c>
      <c r="N51" s="28">
        <f t="shared" si="10"/>
        <v>-845.94999999999982</v>
      </c>
      <c r="O51" s="28">
        <f t="shared" si="15"/>
        <v>-13024.649999999998</v>
      </c>
      <c r="P51" s="29">
        <f t="shared" si="11"/>
        <v>0.69565217391304346</v>
      </c>
      <c r="Q51" s="29">
        <f t="shared" si="12"/>
        <v>-0.27863965744400521</v>
      </c>
      <c r="R51" s="30">
        <f>Parameters!$C$22</f>
        <v>23</v>
      </c>
      <c r="S51" s="30">
        <f>Parameters!$C$20</f>
        <v>7</v>
      </c>
      <c r="T51" s="30">
        <f>Parameters!$C$14</f>
        <v>60</v>
      </c>
      <c r="U51" s="28">
        <f>IF(Parameters!$C$17&lt;&gt;0,(Parameters!$C$22-Parameters!$C$20)/Parameters!$C$17,0)</f>
        <v>266.66666666666669</v>
      </c>
      <c r="V51" s="31">
        <f>IF((Parameters!$C$22-Parameters!$C$20)&gt;0,Parameters!$C$14/(Parameters!$C$22-Parameters!$C$20),999)</f>
        <v>3.75</v>
      </c>
      <c r="W51" s="32">
        <f>IF(Parameters!$C$14&lt;&gt;0,IF(Parameters!$C$17&lt;&gt;0,(Parameters!$C$22-Parameters!$C$20)/(Parameters!$C$17*Parameters!$C$14),0),0)</f>
        <v>4.4444444444444446</v>
      </c>
      <c r="X51" s="33">
        <f t="shared" si="13"/>
        <v>0</v>
      </c>
    </row>
    <row r="52" spans="1:24" ht="15" customHeight="1" x14ac:dyDescent="0.3">
      <c r="A52" s="25">
        <v>15</v>
      </c>
      <c r="B52" s="26" t="s">
        <v>83</v>
      </c>
      <c r="C52" s="26" t="s">
        <v>3</v>
      </c>
      <c r="D52" s="27">
        <f t="shared" si="14"/>
        <v>146</v>
      </c>
      <c r="E52" s="27">
        <f>ROUND(I52/Parameters!$C$14,0)</f>
        <v>18</v>
      </c>
      <c r="F52" s="27">
        <f>ROUND(D51*Parameters!$C$16,0)</f>
        <v>4</v>
      </c>
      <c r="G52" s="27">
        <f>ROUND(D51*Parameters!$C$17,0)</f>
        <v>8</v>
      </c>
      <c r="H52" s="28">
        <f>D52*Parameters!$C$22</f>
        <v>3358</v>
      </c>
      <c r="I52" s="28">
        <f>MAX(Parameters!$C$13,H51*Parameters!$C$12)</f>
        <v>1062.5999999999999</v>
      </c>
      <c r="J52" s="28">
        <f>D52*Parameters!$C$20</f>
        <v>1022</v>
      </c>
      <c r="K52" s="28">
        <f>IF(D52&lt;=100,Parameters!$B$6,IF(D52&lt;=500,Parameters!$B$7,IF(D52&lt;=2000,Parameters!$B$8,IF(D52&lt;=10000,Parameters!$B$9,Parameters!$B$10))))</f>
        <v>2000</v>
      </c>
      <c r="L52" s="28">
        <f t="shared" si="8"/>
        <v>4084.6</v>
      </c>
      <c r="M52" s="28">
        <f t="shared" si="9"/>
        <v>2336</v>
      </c>
      <c r="N52" s="28">
        <f t="shared" si="10"/>
        <v>-726.59999999999991</v>
      </c>
      <c r="O52" s="28">
        <f t="shared" si="15"/>
        <v>-13751.249999999998</v>
      </c>
      <c r="P52" s="29">
        <f t="shared" si="11"/>
        <v>0.69565217391304346</v>
      </c>
      <c r="Q52" s="29">
        <f t="shared" si="12"/>
        <v>-0.21637879690291836</v>
      </c>
      <c r="R52" s="30">
        <f>Parameters!$C$22</f>
        <v>23</v>
      </c>
      <c r="S52" s="30">
        <f>Parameters!$C$20</f>
        <v>7</v>
      </c>
      <c r="T52" s="30">
        <f>Parameters!$C$14</f>
        <v>60</v>
      </c>
      <c r="U52" s="28">
        <f>IF(Parameters!$C$17&lt;&gt;0,(Parameters!$C$22-Parameters!$C$20)/Parameters!$C$17,0)</f>
        <v>266.66666666666669</v>
      </c>
      <c r="V52" s="31">
        <f>IF((Parameters!$C$22-Parameters!$C$20)&gt;0,Parameters!$C$14/(Parameters!$C$22-Parameters!$C$20),999)</f>
        <v>3.75</v>
      </c>
      <c r="W52" s="32">
        <f>IF(Parameters!$C$14&lt;&gt;0,IF(Parameters!$C$17&lt;&gt;0,(Parameters!$C$22-Parameters!$C$20)/(Parameters!$C$17*Parameters!$C$14),0),0)</f>
        <v>4.4444444444444446</v>
      </c>
      <c r="X52" s="33">
        <f t="shared" si="13"/>
        <v>0</v>
      </c>
    </row>
    <row r="53" spans="1:24" ht="15" customHeight="1" x14ac:dyDescent="0.3">
      <c r="A53" s="25">
        <v>16</v>
      </c>
      <c r="B53" s="26" t="s">
        <v>84</v>
      </c>
      <c r="C53" s="26" t="s">
        <v>3</v>
      </c>
      <c r="D53" s="27">
        <f t="shared" si="14"/>
        <v>161</v>
      </c>
      <c r="E53" s="27">
        <f>ROUND(I53/Parameters!$C$14,0)</f>
        <v>20</v>
      </c>
      <c r="F53" s="27">
        <f>ROUND(D52*Parameters!$C$16,0)</f>
        <v>4</v>
      </c>
      <c r="G53" s="27">
        <f>ROUND(D52*Parameters!$C$17,0)</f>
        <v>9</v>
      </c>
      <c r="H53" s="28">
        <f>D53*Parameters!$C$22</f>
        <v>3703</v>
      </c>
      <c r="I53" s="28">
        <f>MAX(Parameters!$C$13,H52*Parameters!$C$12)</f>
        <v>1175.3</v>
      </c>
      <c r="J53" s="28">
        <f>D53*Parameters!$C$20</f>
        <v>1127</v>
      </c>
      <c r="K53" s="28">
        <f>IF(D53&lt;=100,Parameters!$B$6,IF(D53&lt;=500,Parameters!$B$7,IF(D53&lt;=2000,Parameters!$B$8,IF(D53&lt;=10000,Parameters!$B$9,Parameters!$B$10))))</f>
        <v>2000</v>
      </c>
      <c r="L53" s="28">
        <f t="shared" si="8"/>
        <v>4302.3</v>
      </c>
      <c r="M53" s="28">
        <f t="shared" si="9"/>
        <v>2576</v>
      </c>
      <c r="N53" s="28">
        <f t="shared" si="10"/>
        <v>-599.30000000000018</v>
      </c>
      <c r="O53" s="28">
        <f t="shared" si="15"/>
        <v>-14350.55</v>
      </c>
      <c r="P53" s="29">
        <f t="shared" si="11"/>
        <v>0.69565217391304346</v>
      </c>
      <c r="Q53" s="29">
        <f t="shared" si="12"/>
        <v>-0.16184174993248723</v>
      </c>
      <c r="R53" s="30">
        <f>Parameters!$C$22</f>
        <v>23</v>
      </c>
      <c r="S53" s="30">
        <f>Parameters!$C$20</f>
        <v>7</v>
      </c>
      <c r="T53" s="30">
        <f>Parameters!$C$14</f>
        <v>60</v>
      </c>
      <c r="U53" s="28">
        <f>IF(Parameters!$C$17&lt;&gt;0,(Parameters!$C$22-Parameters!$C$20)/Parameters!$C$17,0)</f>
        <v>266.66666666666669</v>
      </c>
      <c r="V53" s="31">
        <f>IF((Parameters!$C$22-Parameters!$C$20)&gt;0,Parameters!$C$14/(Parameters!$C$22-Parameters!$C$20),999)</f>
        <v>3.75</v>
      </c>
      <c r="W53" s="32">
        <f>IF(Parameters!$C$14&lt;&gt;0,IF(Parameters!$C$17&lt;&gt;0,(Parameters!$C$22-Parameters!$C$20)/(Parameters!$C$17*Parameters!$C$14),0),0)</f>
        <v>4.4444444444444446</v>
      </c>
      <c r="X53" s="33">
        <f t="shared" si="13"/>
        <v>0</v>
      </c>
    </row>
    <row r="54" spans="1:24" ht="15" customHeight="1" x14ac:dyDescent="0.3">
      <c r="A54" s="25">
        <v>17</v>
      </c>
      <c r="B54" s="26" t="s">
        <v>85</v>
      </c>
      <c r="C54" s="26" t="s">
        <v>3</v>
      </c>
      <c r="D54" s="27">
        <f t="shared" si="14"/>
        <v>178</v>
      </c>
      <c r="E54" s="27">
        <f>ROUND(I54/Parameters!$C$14,0)</f>
        <v>22</v>
      </c>
      <c r="F54" s="27">
        <f>ROUND(D53*Parameters!$C$16,0)</f>
        <v>5</v>
      </c>
      <c r="G54" s="27">
        <f>ROUND(D53*Parameters!$C$17,0)</f>
        <v>10</v>
      </c>
      <c r="H54" s="28">
        <f>D54*Parameters!$C$22</f>
        <v>4094</v>
      </c>
      <c r="I54" s="28">
        <f>MAX(Parameters!$C$13,H53*Parameters!$C$12)</f>
        <v>1296.05</v>
      </c>
      <c r="J54" s="28">
        <f>D54*Parameters!$C$20</f>
        <v>1246</v>
      </c>
      <c r="K54" s="28">
        <f>IF(D54&lt;=100,Parameters!$B$6,IF(D54&lt;=500,Parameters!$B$7,IF(D54&lt;=2000,Parameters!$B$8,IF(D54&lt;=10000,Parameters!$B$9,Parameters!$B$10))))</f>
        <v>2000</v>
      </c>
      <c r="L54" s="28">
        <f t="shared" si="8"/>
        <v>4542.05</v>
      </c>
      <c r="M54" s="28">
        <f t="shared" si="9"/>
        <v>2848</v>
      </c>
      <c r="N54" s="28">
        <f t="shared" si="10"/>
        <v>-448.05000000000018</v>
      </c>
      <c r="O54" s="28">
        <f t="shared" si="15"/>
        <v>-14798.599999999999</v>
      </c>
      <c r="P54" s="29">
        <f t="shared" si="11"/>
        <v>0.69565217391304346</v>
      </c>
      <c r="Q54" s="29">
        <f t="shared" si="12"/>
        <v>-0.10944064484611631</v>
      </c>
      <c r="R54" s="30">
        <f>Parameters!$C$22</f>
        <v>23</v>
      </c>
      <c r="S54" s="30">
        <f>Parameters!$C$20</f>
        <v>7</v>
      </c>
      <c r="T54" s="30">
        <f>Parameters!$C$14</f>
        <v>60</v>
      </c>
      <c r="U54" s="28">
        <f>IF(Parameters!$C$17&lt;&gt;0,(Parameters!$C$22-Parameters!$C$20)/Parameters!$C$17,0)</f>
        <v>266.66666666666669</v>
      </c>
      <c r="V54" s="31">
        <f>IF((Parameters!$C$22-Parameters!$C$20)&gt;0,Parameters!$C$14/(Parameters!$C$22-Parameters!$C$20),999)</f>
        <v>3.75</v>
      </c>
      <c r="W54" s="32">
        <f>IF(Parameters!$C$14&lt;&gt;0,IF(Parameters!$C$17&lt;&gt;0,(Parameters!$C$22-Parameters!$C$20)/(Parameters!$C$17*Parameters!$C$14),0),0)</f>
        <v>4.4444444444444446</v>
      </c>
      <c r="X54" s="33">
        <f t="shared" si="13"/>
        <v>0</v>
      </c>
    </row>
    <row r="55" spans="1:24" ht="15" customHeight="1" x14ac:dyDescent="0.3">
      <c r="A55" s="25">
        <v>18</v>
      </c>
      <c r="B55" s="26" t="s">
        <v>86</v>
      </c>
      <c r="C55" s="26" t="s">
        <v>3</v>
      </c>
      <c r="D55" s="27">
        <f t="shared" si="14"/>
        <v>196</v>
      </c>
      <c r="E55" s="27">
        <f>ROUND(I55/Parameters!$C$14,0)</f>
        <v>24</v>
      </c>
      <c r="F55" s="27">
        <f>ROUND(D54*Parameters!$C$16,0)</f>
        <v>5</v>
      </c>
      <c r="G55" s="27">
        <f>ROUND(D54*Parameters!$C$17,0)</f>
        <v>11</v>
      </c>
      <c r="H55" s="28">
        <f>D55*Parameters!$C$22</f>
        <v>4508</v>
      </c>
      <c r="I55" s="28">
        <f>MAX(Parameters!$C$13,H54*Parameters!$C$12)</f>
        <v>1432.8999999999999</v>
      </c>
      <c r="J55" s="28">
        <f>D55*Parameters!$C$20</f>
        <v>1372</v>
      </c>
      <c r="K55" s="28">
        <f>IF(D55&lt;=100,Parameters!$B$6,IF(D55&lt;=500,Parameters!$B$7,IF(D55&lt;=2000,Parameters!$B$8,IF(D55&lt;=10000,Parameters!$B$9,Parameters!$B$10))))</f>
        <v>2000</v>
      </c>
      <c r="L55" s="28">
        <f t="shared" si="8"/>
        <v>4804.8999999999996</v>
      </c>
      <c r="M55" s="28">
        <f t="shared" si="9"/>
        <v>3136</v>
      </c>
      <c r="N55" s="28">
        <f t="shared" si="10"/>
        <v>-296.89999999999964</v>
      </c>
      <c r="O55" s="28">
        <f t="shared" si="15"/>
        <v>-15095.499999999998</v>
      </c>
      <c r="P55" s="29">
        <f t="shared" si="11"/>
        <v>0.69565217391304346</v>
      </c>
      <c r="Q55" s="29">
        <f t="shared" si="12"/>
        <v>-6.5860692102928053E-2</v>
      </c>
      <c r="R55" s="30">
        <f>Parameters!$C$22</f>
        <v>23</v>
      </c>
      <c r="S55" s="30">
        <f>Parameters!$C$20</f>
        <v>7</v>
      </c>
      <c r="T55" s="30">
        <f>Parameters!$C$14</f>
        <v>60</v>
      </c>
      <c r="U55" s="28">
        <f>IF(Parameters!$C$17&lt;&gt;0,(Parameters!$C$22-Parameters!$C$20)/Parameters!$C$17,0)</f>
        <v>266.66666666666669</v>
      </c>
      <c r="V55" s="31">
        <f>IF((Parameters!$C$22-Parameters!$C$20)&gt;0,Parameters!$C$14/(Parameters!$C$22-Parameters!$C$20),999)</f>
        <v>3.75</v>
      </c>
      <c r="W55" s="32">
        <f>IF(Parameters!$C$14&lt;&gt;0,IF(Parameters!$C$17&lt;&gt;0,(Parameters!$C$22-Parameters!$C$20)/(Parameters!$C$17*Parameters!$C$14),0),0)</f>
        <v>4.4444444444444446</v>
      </c>
      <c r="X55" s="33">
        <f t="shared" si="13"/>
        <v>0</v>
      </c>
    </row>
    <row r="56" spans="1:24" ht="15" customHeight="1" x14ac:dyDescent="0.3">
      <c r="A56" s="25">
        <v>19</v>
      </c>
      <c r="B56" s="26" t="s">
        <v>87</v>
      </c>
      <c r="C56" s="26" t="s">
        <v>3</v>
      </c>
      <c r="D56" s="27">
        <f t="shared" si="14"/>
        <v>216</v>
      </c>
      <c r="E56" s="27">
        <f>ROUND(I56/Parameters!$C$14,0)</f>
        <v>26</v>
      </c>
      <c r="F56" s="27">
        <f>ROUND(D55*Parameters!$C$16,0)</f>
        <v>6</v>
      </c>
      <c r="G56" s="27">
        <f>ROUND(D55*Parameters!$C$17,0)</f>
        <v>12</v>
      </c>
      <c r="H56" s="28">
        <f>D56*Parameters!$C$22</f>
        <v>4968</v>
      </c>
      <c r="I56" s="28">
        <f>MAX(Parameters!$C$13,H55*Parameters!$C$12)</f>
        <v>1577.8</v>
      </c>
      <c r="J56" s="28">
        <f>D56*Parameters!$C$20</f>
        <v>1512</v>
      </c>
      <c r="K56" s="28">
        <f>IF(D56&lt;=100,Parameters!$B$6,IF(D56&lt;=500,Parameters!$B$7,IF(D56&lt;=2000,Parameters!$B$8,IF(D56&lt;=10000,Parameters!$B$9,Parameters!$B$10))))</f>
        <v>2000</v>
      </c>
      <c r="L56" s="28">
        <f t="shared" si="8"/>
        <v>5089.8</v>
      </c>
      <c r="M56" s="28">
        <f t="shared" si="9"/>
        <v>3456</v>
      </c>
      <c r="N56" s="28">
        <f t="shared" si="10"/>
        <v>-121.80000000000018</v>
      </c>
      <c r="O56" s="28">
        <f t="shared" si="15"/>
        <v>-15217.3</v>
      </c>
      <c r="P56" s="29">
        <f t="shared" si="11"/>
        <v>0.69565217391304346</v>
      </c>
      <c r="Q56" s="29">
        <f t="shared" si="12"/>
        <v>-2.4516908212560425E-2</v>
      </c>
      <c r="R56" s="30">
        <f>Parameters!$C$22</f>
        <v>23</v>
      </c>
      <c r="S56" s="30">
        <f>Parameters!$C$20</f>
        <v>7</v>
      </c>
      <c r="T56" s="30">
        <f>Parameters!$C$14</f>
        <v>60</v>
      </c>
      <c r="U56" s="28">
        <f>IF(Parameters!$C$17&lt;&gt;0,(Parameters!$C$22-Parameters!$C$20)/Parameters!$C$17,0)</f>
        <v>266.66666666666669</v>
      </c>
      <c r="V56" s="31">
        <f>IF((Parameters!$C$22-Parameters!$C$20)&gt;0,Parameters!$C$14/(Parameters!$C$22-Parameters!$C$20),999)</f>
        <v>3.75</v>
      </c>
      <c r="W56" s="32">
        <f>IF(Parameters!$C$14&lt;&gt;0,IF(Parameters!$C$17&lt;&gt;0,(Parameters!$C$22-Parameters!$C$20)/(Parameters!$C$17*Parameters!$C$14),0),0)</f>
        <v>4.4444444444444446</v>
      </c>
      <c r="X56" s="33">
        <f t="shared" si="13"/>
        <v>0</v>
      </c>
    </row>
    <row r="57" spans="1:24" ht="15" customHeight="1" x14ac:dyDescent="0.3">
      <c r="A57" s="25">
        <v>20</v>
      </c>
      <c r="B57" s="26" t="s">
        <v>88</v>
      </c>
      <c r="C57" s="26" t="s">
        <v>3</v>
      </c>
      <c r="D57" s="27">
        <f t="shared" si="14"/>
        <v>238</v>
      </c>
      <c r="E57" s="27">
        <f>ROUND(I57/Parameters!$C$14,0)</f>
        <v>29</v>
      </c>
      <c r="F57" s="27">
        <f>ROUND(D56*Parameters!$C$16,0)</f>
        <v>6</v>
      </c>
      <c r="G57" s="27">
        <f>ROUND(D56*Parameters!$C$17,0)</f>
        <v>13</v>
      </c>
      <c r="H57" s="28">
        <f>D57*Parameters!$C$22</f>
        <v>5474</v>
      </c>
      <c r="I57" s="28">
        <f>MAX(Parameters!$C$13,H56*Parameters!$C$12)</f>
        <v>1738.8</v>
      </c>
      <c r="J57" s="28">
        <f>D57*Parameters!$C$20</f>
        <v>1666</v>
      </c>
      <c r="K57" s="28">
        <f>IF(D57&lt;=100,Parameters!$B$6,IF(D57&lt;=500,Parameters!$B$7,IF(D57&lt;=2000,Parameters!$B$8,IF(D57&lt;=10000,Parameters!$B$9,Parameters!$B$10))))</f>
        <v>2000</v>
      </c>
      <c r="L57" s="28">
        <f t="shared" si="8"/>
        <v>5404.8</v>
      </c>
      <c r="M57" s="28">
        <f t="shared" si="9"/>
        <v>3808</v>
      </c>
      <c r="N57" s="28">
        <f t="shared" si="10"/>
        <v>69.199999999999818</v>
      </c>
      <c r="O57" s="28">
        <f t="shared" si="15"/>
        <v>-15148.099999999999</v>
      </c>
      <c r="P57" s="29">
        <f t="shared" si="11"/>
        <v>0.69565217391304346</v>
      </c>
      <c r="Q57" s="29">
        <f t="shared" si="12"/>
        <v>1.2641578370478593E-2</v>
      </c>
      <c r="R57" s="30">
        <f>Parameters!$C$22</f>
        <v>23</v>
      </c>
      <c r="S57" s="30">
        <f>Parameters!$C$20</f>
        <v>7</v>
      </c>
      <c r="T57" s="30">
        <f>Parameters!$C$14</f>
        <v>60</v>
      </c>
      <c r="U57" s="28">
        <f>IF(Parameters!$C$17&lt;&gt;0,(Parameters!$C$22-Parameters!$C$20)/Parameters!$C$17,0)</f>
        <v>266.66666666666669</v>
      </c>
      <c r="V57" s="31">
        <f>IF((Parameters!$C$22-Parameters!$C$20)&gt;0,Parameters!$C$14/(Parameters!$C$22-Parameters!$C$20),999)</f>
        <v>3.75</v>
      </c>
      <c r="W57" s="32">
        <f>IF(Parameters!$C$14&lt;&gt;0,IF(Parameters!$C$17&lt;&gt;0,(Parameters!$C$22-Parameters!$C$20)/(Parameters!$C$17*Parameters!$C$14),0),0)</f>
        <v>4.4444444444444446</v>
      </c>
      <c r="X57" s="33">
        <f t="shared" si="13"/>
        <v>0</v>
      </c>
    </row>
    <row r="58" spans="1:24" ht="15" customHeight="1" x14ac:dyDescent="0.3">
      <c r="A58" s="25">
        <v>21</v>
      </c>
      <c r="B58" s="26" t="s">
        <v>89</v>
      </c>
      <c r="C58" s="26" t="s">
        <v>3</v>
      </c>
      <c r="D58" s="27">
        <f t="shared" si="14"/>
        <v>263</v>
      </c>
      <c r="E58" s="27">
        <f>ROUND(I58/Parameters!$C$14,0)</f>
        <v>32</v>
      </c>
      <c r="F58" s="27">
        <f>ROUND(D57*Parameters!$C$16,0)</f>
        <v>7</v>
      </c>
      <c r="G58" s="27">
        <f>ROUND(D57*Parameters!$C$17,0)</f>
        <v>14</v>
      </c>
      <c r="H58" s="28">
        <f>D58*Parameters!$C$22</f>
        <v>6049</v>
      </c>
      <c r="I58" s="28">
        <f>MAX(Parameters!$C$13,H57*Parameters!$C$12)</f>
        <v>1915.8999999999999</v>
      </c>
      <c r="J58" s="28">
        <f>D58*Parameters!$C$20</f>
        <v>1841</v>
      </c>
      <c r="K58" s="28">
        <f>IF(D58&lt;=100,Parameters!$B$6,IF(D58&lt;=500,Parameters!$B$7,IF(D58&lt;=2000,Parameters!$B$8,IF(D58&lt;=10000,Parameters!$B$9,Parameters!$B$10))))</f>
        <v>2000</v>
      </c>
      <c r="L58" s="28">
        <f t="shared" si="8"/>
        <v>5756.9</v>
      </c>
      <c r="M58" s="28">
        <f t="shared" si="9"/>
        <v>4208</v>
      </c>
      <c r="N58" s="28">
        <f t="shared" si="10"/>
        <v>292.10000000000036</v>
      </c>
      <c r="O58" s="28">
        <f t="shared" si="15"/>
        <v>-14855.999999999998</v>
      </c>
      <c r="P58" s="29">
        <f t="shared" si="11"/>
        <v>0.69565217391304346</v>
      </c>
      <c r="Q58" s="29">
        <f t="shared" si="12"/>
        <v>4.828897338403048E-2</v>
      </c>
      <c r="R58" s="30">
        <f>Parameters!$C$22</f>
        <v>23</v>
      </c>
      <c r="S58" s="30">
        <f>Parameters!$C$20</f>
        <v>7</v>
      </c>
      <c r="T58" s="30">
        <f>Parameters!$C$14</f>
        <v>60</v>
      </c>
      <c r="U58" s="28">
        <f>IF(Parameters!$C$17&lt;&gt;0,(Parameters!$C$22-Parameters!$C$20)/Parameters!$C$17,0)</f>
        <v>266.66666666666669</v>
      </c>
      <c r="V58" s="31">
        <f>IF((Parameters!$C$22-Parameters!$C$20)&gt;0,Parameters!$C$14/(Parameters!$C$22-Parameters!$C$20),999)</f>
        <v>3.75</v>
      </c>
      <c r="W58" s="32">
        <f>IF(Parameters!$C$14&lt;&gt;0,IF(Parameters!$C$17&lt;&gt;0,(Parameters!$C$22-Parameters!$C$20)/(Parameters!$C$17*Parameters!$C$14),0),0)</f>
        <v>4.4444444444444446</v>
      </c>
      <c r="X58" s="33">
        <f t="shared" si="13"/>
        <v>0</v>
      </c>
    </row>
    <row r="59" spans="1:24" ht="15" customHeight="1" x14ac:dyDescent="0.3">
      <c r="A59" s="25">
        <v>22</v>
      </c>
      <c r="B59" s="26" t="s">
        <v>90</v>
      </c>
      <c r="C59" s="26" t="s">
        <v>3</v>
      </c>
      <c r="D59" s="27">
        <f t="shared" si="14"/>
        <v>290</v>
      </c>
      <c r="E59" s="27">
        <f>ROUND(I59/Parameters!$C$14,0)</f>
        <v>35</v>
      </c>
      <c r="F59" s="27">
        <f>ROUND(D58*Parameters!$C$16,0)</f>
        <v>8</v>
      </c>
      <c r="G59" s="27">
        <f>ROUND(D58*Parameters!$C$17,0)</f>
        <v>16</v>
      </c>
      <c r="H59" s="28">
        <f>D59*Parameters!$C$22</f>
        <v>6670</v>
      </c>
      <c r="I59" s="28">
        <f>MAX(Parameters!$C$13,H58*Parameters!$C$12)</f>
        <v>2117.15</v>
      </c>
      <c r="J59" s="28">
        <f>D59*Parameters!$C$20</f>
        <v>2030</v>
      </c>
      <c r="K59" s="28">
        <f>IF(D59&lt;=100,Parameters!$B$6,IF(D59&lt;=500,Parameters!$B$7,IF(D59&lt;=2000,Parameters!$B$8,IF(D59&lt;=10000,Parameters!$B$9,Parameters!$B$10))))</f>
        <v>2000</v>
      </c>
      <c r="L59" s="28">
        <f t="shared" si="8"/>
        <v>6147.15</v>
      </c>
      <c r="M59" s="28">
        <f t="shared" si="9"/>
        <v>4640</v>
      </c>
      <c r="N59" s="28">
        <f t="shared" si="10"/>
        <v>522.85000000000036</v>
      </c>
      <c r="O59" s="28">
        <f t="shared" si="15"/>
        <v>-14333.149999999998</v>
      </c>
      <c r="P59" s="29">
        <f t="shared" si="11"/>
        <v>0.69565217391304346</v>
      </c>
      <c r="Q59" s="29">
        <f t="shared" si="12"/>
        <v>7.8388305847076512E-2</v>
      </c>
      <c r="R59" s="30">
        <f>Parameters!$C$22</f>
        <v>23</v>
      </c>
      <c r="S59" s="30">
        <f>Parameters!$C$20</f>
        <v>7</v>
      </c>
      <c r="T59" s="30">
        <f>Parameters!$C$14</f>
        <v>60</v>
      </c>
      <c r="U59" s="28">
        <f>IF(Parameters!$C$17&lt;&gt;0,(Parameters!$C$22-Parameters!$C$20)/Parameters!$C$17,0)</f>
        <v>266.66666666666669</v>
      </c>
      <c r="V59" s="31">
        <f>IF((Parameters!$C$22-Parameters!$C$20)&gt;0,Parameters!$C$14/(Parameters!$C$22-Parameters!$C$20),999)</f>
        <v>3.75</v>
      </c>
      <c r="W59" s="32">
        <f>IF(Parameters!$C$14&lt;&gt;0,IF(Parameters!$C$17&lt;&gt;0,(Parameters!$C$22-Parameters!$C$20)/(Parameters!$C$17*Parameters!$C$14),0),0)</f>
        <v>4.4444444444444446</v>
      </c>
      <c r="X59" s="33">
        <f t="shared" si="13"/>
        <v>0</v>
      </c>
    </row>
    <row r="60" spans="1:24" ht="15" customHeight="1" x14ac:dyDescent="0.3">
      <c r="A60" s="25">
        <v>23</v>
      </c>
      <c r="B60" s="26" t="s">
        <v>91</v>
      </c>
      <c r="C60" s="26" t="s">
        <v>3</v>
      </c>
      <c r="D60" s="27">
        <f t="shared" si="14"/>
        <v>321</v>
      </c>
      <c r="E60" s="27">
        <f>ROUND(I60/Parameters!$C$14,0)</f>
        <v>39</v>
      </c>
      <c r="F60" s="27">
        <f>ROUND(D59*Parameters!$C$16,0)</f>
        <v>9</v>
      </c>
      <c r="G60" s="27">
        <f>ROUND(D59*Parameters!$C$17,0)</f>
        <v>17</v>
      </c>
      <c r="H60" s="28">
        <f>D60*Parameters!$C$22</f>
        <v>7383</v>
      </c>
      <c r="I60" s="28">
        <f>MAX(Parameters!$C$13,H59*Parameters!$C$12)</f>
        <v>2334.5</v>
      </c>
      <c r="J60" s="28">
        <f>D60*Parameters!$C$20</f>
        <v>2247</v>
      </c>
      <c r="K60" s="28">
        <f>IF(D60&lt;=100,Parameters!$B$6,IF(D60&lt;=500,Parameters!$B$7,IF(D60&lt;=2000,Parameters!$B$8,IF(D60&lt;=10000,Parameters!$B$9,Parameters!$B$10))))</f>
        <v>2000</v>
      </c>
      <c r="L60" s="28">
        <f t="shared" si="8"/>
        <v>6581.5</v>
      </c>
      <c r="M60" s="28">
        <f t="shared" si="9"/>
        <v>5136</v>
      </c>
      <c r="N60" s="28">
        <f t="shared" si="10"/>
        <v>801.5</v>
      </c>
      <c r="O60" s="28">
        <f t="shared" si="15"/>
        <v>-13531.649999999998</v>
      </c>
      <c r="P60" s="29">
        <f t="shared" si="11"/>
        <v>0.69565217391304346</v>
      </c>
      <c r="Q60" s="29">
        <f t="shared" si="12"/>
        <v>0.10856020587836923</v>
      </c>
      <c r="R60" s="30">
        <f>Parameters!$C$22</f>
        <v>23</v>
      </c>
      <c r="S60" s="30">
        <f>Parameters!$C$20</f>
        <v>7</v>
      </c>
      <c r="T60" s="30">
        <f>Parameters!$C$14</f>
        <v>60</v>
      </c>
      <c r="U60" s="28">
        <f>IF(Parameters!$C$17&lt;&gt;0,(Parameters!$C$22-Parameters!$C$20)/Parameters!$C$17,0)</f>
        <v>266.66666666666669</v>
      </c>
      <c r="V60" s="31">
        <f>IF((Parameters!$C$22-Parameters!$C$20)&gt;0,Parameters!$C$14/(Parameters!$C$22-Parameters!$C$20),999)</f>
        <v>3.75</v>
      </c>
      <c r="W60" s="32">
        <f>IF(Parameters!$C$14&lt;&gt;0,IF(Parameters!$C$17&lt;&gt;0,(Parameters!$C$22-Parameters!$C$20)/(Parameters!$C$17*Parameters!$C$14),0),0)</f>
        <v>4.4444444444444446</v>
      </c>
      <c r="X60" s="33">
        <f t="shared" si="13"/>
        <v>0</v>
      </c>
    </row>
    <row r="61" spans="1:24" ht="15" customHeight="1" x14ac:dyDescent="0.3">
      <c r="A61" s="25">
        <v>24</v>
      </c>
      <c r="B61" s="26" t="s">
        <v>92</v>
      </c>
      <c r="C61" s="26" t="s">
        <v>3</v>
      </c>
      <c r="D61" s="27">
        <f t="shared" si="14"/>
        <v>355</v>
      </c>
      <c r="E61" s="27">
        <f>ROUND(I61/Parameters!$C$14,0)</f>
        <v>43</v>
      </c>
      <c r="F61" s="27">
        <f>ROUND(D60*Parameters!$C$16,0)</f>
        <v>10</v>
      </c>
      <c r="G61" s="27">
        <f>ROUND(D60*Parameters!$C$17,0)</f>
        <v>19</v>
      </c>
      <c r="H61" s="28">
        <f>D61*Parameters!$C$22</f>
        <v>8165</v>
      </c>
      <c r="I61" s="28">
        <f>MAX(Parameters!$C$13,H60*Parameters!$C$12)</f>
        <v>2584.0499999999997</v>
      </c>
      <c r="J61" s="28">
        <f>D61*Parameters!$C$20</f>
        <v>2485</v>
      </c>
      <c r="K61" s="28">
        <f>IF(D61&lt;=100,Parameters!$B$6,IF(D61&lt;=500,Parameters!$B$7,IF(D61&lt;=2000,Parameters!$B$8,IF(D61&lt;=10000,Parameters!$B$9,Parameters!$B$10))))</f>
        <v>2000</v>
      </c>
      <c r="L61" s="28">
        <f t="shared" si="8"/>
        <v>7069.0499999999993</v>
      </c>
      <c r="M61" s="28">
        <f t="shared" si="9"/>
        <v>5680</v>
      </c>
      <c r="N61" s="28">
        <f t="shared" si="10"/>
        <v>1095.9500000000007</v>
      </c>
      <c r="O61" s="28">
        <f t="shared" si="15"/>
        <v>-12435.699999999997</v>
      </c>
      <c r="P61" s="29">
        <f t="shared" si="11"/>
        <v>0.69565217391304346</v>
      </c>
      <c r="Q61" s="29">
        <f t="shared" si="12"/>
        <v>0.13422535211267614</v>
      </c>
      <c r="R61" s="30">
        <f>Parameters!$C$22</f>
        <v>23</v>
      </c>
      <c r="S61" s="30">
        <f>Parameters!$C$20</f>
        <v>7</v>
      </c>
      <c r="T61" s="30">
        <f>Parameters!$C$14</f>
        <v>60</v>
      </c>
      <c r="U61" s="28">
        <f>IF(Parameters!$C$17&lt;&gt;0,(Parameters!$C$22-Parameters!$C$20)/Parameters!$C$17,0)</f>
        <v>266.66666666666669</v>
      </c>
      <c r="V61" s="31">
        <f>IF((Parameters!$C$22-Parameters!$C$20)&gt;0,Parameters!$C$14/(Parameters!$C$22-Parameters!$C$20),999)</f>
        <v>3.75</v>
      </c>
      <c r="W61" s="32">
        <f>IF(Parameters!$C$14&lt;&gt;0,IF(Parameters!$C$17&lt;&gt;0,(Parameters!$C$22-Parameters!$C$20)/(Parameters!$C$17*Parameters!$C$14),0),0)</f>
        <v>4.4444444444444446</v>
      </c>
      <c r="X61" s="33">
        <f t="shared" si="13"/>
        <v>0</v>
      </c>
    </row>
    <row r="62" spans="1:24" ht="15" customHeight="1" x14ac:dyDescent="0.3">
      <c r="A62" s="25">
        <v>25</v>
      </c>
      <c r="B62" s="26" t="s">
        <v>93</v>
      </c>
      <c r="C62" s="26" t="s">
        <v>3</v>
      </c>
      <c r="D62" s="27">
        <f t="shared" si="14"/>
        <v>393</v>
      </c>
      <c r="E62" s="27">
        <f>ROUND(I62/Parameters!$C$14,0)</f>
        <v>48</v>
      </c>
      <c r="F62" s="27">
        <f>ROUND(D61*Parameters!$C$16,0)</f>
        <v>11</v>
      </c>
      <c r="G62" s="27">
        <f>ROUND(D61*Parameters!$C$17,0)</f>
        <v>21</v>
      </c>
      <c r="H62" s="28">
        <f>D62*Parameters!$C$22</f>
        <v>9039</v>
      </c>
      <c r="I62" s="28">
        <f>MAX(Parameters!$C$13,H61*Parameters!$C$12)</f>
        <v>2857.75</v>
      </c>
      <c r="J62" s="28">
        <f>D62*Parameters!$C$20</f>
        <v>2751</v>
      </c>
      <c r="K62" s="28">
        <f>IF(D62&lt;=100,Parameters!$B$6,IF(D62&lt;=500,Parameters!$B$7,IF(D62&lt;=2000,Parameters!$B$8,IF(D62&lt;=10000,Parameters!$B$9,Parameters!$B$10))))</f>
        <v>2000</v>
      </c>
      <c r="L62" s="28">
        <f t="shared" si="8"/>
        <v>7608.75</v>
      </c>
      <c r="M62" s="28">
        <f t="shared" si="9"/>
        <v>6288</v>
      </c>
      <c r="N62" s="28">
        <f t="shared" si="10"/>
        <v>1430.25</v>
      </c>
      <c r="O62" s="28">
        <f t="shared" si="15"/>
        <v>-11005.449999999997</v>
      </c>
      <c r="P62" s="29">
        <f t="shared" si="11"/>
        <v>0.69565217391304346</v>
      </c>
      <c r="Q62" s="29">
        <f t="shared" si="12"/>
        <v>0.15823099900431464</v>
      </c>
      <c r="R62" s="30">
        <f>Parameters!$C$22</f>
        <v>23</v>
      </c>
      <c r="S62" s="30">
        <f>Parameters!$C$20</f>
        <v>7</v>
      </c>
      <c r="T62" s="30">
        <f>Parameters!$C$14</f>
        <v>60</v>
      </c>
      <c r="U62" s="28">
        <f>IF(Parameters!$C$17&lt;&gt;0,(Parameters!$C$22-Parameters!$C$20)/Parameters!$C$17,0)</f>
        <v>266.66666666666669</v>
      </c>
      <c r="V62" s="31">
        <f>IF((Parameters!$C$22-Parameters!$C$20)&gt;0,Parameters!$C$14/(Parameters!$C$22-Parameters!$C$20),999)</f>
        <v>3.75</v>
      </c>
      <c r="W62" s="32">
        <f>IF(Parameters!$C$14&lt;&gt;0,IF(Parameters!$C$17&lt;&gt;0,(Parameters!$C$22-Parameters!$C$20)/(Parameters!$C$17*Parameters!$C$14),0),0)</f>
        <v>4.4444444444444446</v>
      </c>
      <c r="X62" s="33">
        <f t="shared" si="13"/>
        <v>0</v>
      </c>
    </row>
    <row r="63" spans="1:24" ht="15" customHeight="1" x14ac:dyDescent="0.3">
      <c r="A63" s="25">
        <v>26</v>
      </c>
      <c r="B63" s="26" t="s">
        <v>94</v>
      </c>
      <c r="C63" s="26" t="s">
        <v>3</v>
      </c>
      <c r="D63" s="27">
        <f t="shared" si="14"/>
        <v>434</v>
      </c>
      <c r="E63" s="27">
        <f>ROUND(I63/Parameters!$C$14,0)</f>
        <v>53</v>
      </c>
      <c r="F63" s="27">
        <f>ROUND(D62*Parameters!$C$16,0)</f>
        <v>12</v>
      </c>
      <c r="G63" s="27">
        <f>ROUND(D62*Parameters!$C$17,0)</f>
        <v>24</v>
      </c>
      <c r="H63" s="28">
        <f>D63*Parameters!$C$22</f>
        <v>9982</v>
      </c>
      <c r="I63" s="28">
        <f>MAX(Parameters!$C$13,H62*Parameters!$C$12)</f>
        <v>3163.6499999999996</v>
      </c>
      <c r="J63" s="28">
        <f>D63*Parameters!$C$20</f>
        <v>3038</v>
      </c>
      <c r="K63" s="28">
        <f>IF(D63&lt;=100,Parameters!$B$6,IF(D63&lt;=500,Parameters!$B$7,IF(D63&lt;=2000,Parameters!$B$8,IF(D63&lt;=10000,Parameters!$B$9,Parameters!$B$10))))</f>
        <v>2000</v>
      </c>
      <c r="L63" s="28">
        <f t="shared" si="8"/>
        <v>8201.65</v>
      </c>
      <c r="M63" s="28">
        <f t="shared" si="9"/>
        <v>6944</v>
      </c>
      <c r="N63" s="28">
        <f t="shared" si="10"/>
        <v>1780.3500000000004</v>
      </c>
      <c r="O63" s="28">
        <f t="shared" si="15"/>
        <v>-9225.0999999999967</v>
      </c>
      <c r="P63" s="29">
        <f t="shared" si="11"/>
        <v>0.69565217391304346</v>
      </c>
      <c r="Q63" s="29">
        <f t="shared" si="12"/>
        <v>0.17835604087357246</v>
      </c>
      <c r="R63" s="30">
        <f>Parameters!$C$22</f>
        <v>23</v>
      </c>
      <c r="S63" s="30">
        <f>Parameters!$C$20</f>
        <v>7</v>
      </c>
      <c r="T63" s="30">
        <f>Parameters!$C$14</f>
        <v>60</v>
      </c>
      <c r="U63" s="28">
        <f>IF(Parameters!$C$17&lt;&gt;0,(Parameters!$C$22-Parameters!$C$20)/Parameters!$C$17,0)</f>
        <v>266.66666666666669</v>
      </c>
      <c r="V63" s="31">
        <f>IF((Parameters!$C$22-Parameters!$C$20)&gt;0,Parameters!$C$14/(Parameters!$C$22-Parameters!$C$20),999)</f>
        <v>3.75</v>
      </c>
      <c r="W63" s="32">
        <f>IF(Parameters!$C$14&lt;&gt;0,IF(Parameters!$C$17&lt;&gt;0,(Parameters!$C$22-Parameters!$C$20)/(Parameters!$C$17*Parameters!$C$14),0),0)</f>
        <v>4.4444444444444446</v>
      </c>
      <c r="X63" s="33">
        <f t="shared" si="13"/>
        <v>0</v>
      </c>
    </row>
    <row r="64" spans="1:24" ht="15" customHeight="1" x14ac:dyDescent="0.3">
      <c r="A64" s="25">
        <v>27</v>
      </c>
      <c r="B64" s="26" t="s">
        <v>95</v>
      </c>
      <c r="C64" s="26" t="s">
        <v>3</v>
      </c>
      <c r="D64" s="27">
        <f t="shared" si="14"/>
        <v>479</v>
      </c>
      <c r="E64" s="27">
        <f>ROUND(I64/Parameters!$C$14,0)</f>
        <v>58</v>
      </c>
      <c r="F64" s="27">
        <f>ROUND(D63*Parameters!$C$16,0)</f>
        <v>13</v>
      </c>
      <c r="G64" s="27">
        <f>ROUND(D63*Parameters!$C$17,0)</f>
        <v>26</v>
      </c>
      <c r="H64" s="28">
        <f>D64*Parameters!$C$22</f>
        <v>11017</v>
      </c>
      <c r="I64" s="28">
        <f>MAX(Parameters!$C$13,H63*Parameters!$C$12)</f>
        <v>3493.7</v>
      </c>
      <c r="J64" s="28">
        <f>D64*Parameters!$C$20</f>
        <v>3353</v>
      </c>
      <c r="K64" s="28">
        <f>IF(D64&lt;=100,Parameters!$B$6,IF(D64&lt;=500,Parameters!$B$7,IF(D64&lt;=2000,Parameters!$B$8,IF(D64&lt;=10000,Parameters!$B$9,Parameters!$B$10))))</f>
        <v>2000</v>
      </c>
      <c r="L64" s="28">
        <f t="shared" si="8"/>
        <v>8846.7000000000007</v>
      </c>
      <c r="M64" s="28">
        <f t="shared" si="9"/>
        <v>7664</v>
      </c>
      <c r="N64" s="28">
        <f t="shared" si="10"/>
        <v>2170.2999999999993</v>
      </c>
      <c r="O64" s="28">
        <f t="shared" si="15"/>
        <v>-7054.7999999999975</v>
      </c>
      <c r="P64" s="29">
        <f t="shared" si="11"/>
        <v>0.69565217391304346</v>
      </c>
      <c r="Q64" s="29">
        <f t="shared" si="12"/>
        <v>0.19699555232821997</v>
      </c>
      <c r="R64" s="30">
        <f>Parameters!$C$22</f>
        <v>23</v>
      </c>
      <c r="S64" s="30">
        <f>Parameters!$C$20</f>
        <v>7</v>
      </c>
      <c r="T64" s="30">
        <f>Parameters!$C$14</f>
        <v>60</v>
      </c>
      <c r="U64" s="28">
        <f>IF(Parameters!$C$17&lt;&gt;0,(Parameters!$C$22-Parameters!$C$20)/Parameters!$C$17,0)</f>
        <v>266.66666666666669</v>
      </c>
      <c r="V64" s="31">
        <f>IF((Parameters!$C$22-Parameters!$C$20)&gt;0,Parameters!$C$14/(Parameters!$C$22-Parameters!$C$20),999)</f>
        <v>3.75</v>
      </c>
      <c r="W64" s="32">
        <f>IF(Parameters!$C$14&lt;&gt;0,IF(Parameters!$C$17&lt;&gt;0,(Parameters!$C$22-Parameters!$C$20)/(Parameters!$C$17*Parameters!$C$14),0),0)</f>
        <v>4.4444444444444446</v>
      </c>
      <c r="X64" s="33">
        <f t="shared" si="13"/>
        <v>0</v>
      </c>
    </row>
    <row r="65" spans="1:24" ht="15" customHeight="1" x14ac:dyDescent="0.3">
      <c r="A65" s="25">
        <v>28</v>
      </c>
      <c r="B65" s="26" t="s">
        <v>96</v>
      </c>
      <c r="C65" s="26" t="s">
        <v>3</v>
      </c>
      <c r="D65" s="27">
        <f t="shared" si="14"/>
        <v>528</v>
      </c>
      <c r="E65" s="27">
        <f>ROUND(I65/Parameters!$C$14,0)</f>
        <v>64</v>
      </c>
      <c r="F65" s="27">
        <f>ROUND(D64*Parameters!$C$16,0)</f>
        <v>14</v>
      </c>
      <c r="G65" s="27">
        <f>ROUND(D64*Parameters!$C$17,0)</f>
        <v>29</v>
      </c>
      <c r="H65" s="28">
        <f>D65*Parameters!$C$22</f>
        <v>12144</v>
      </c>
      <c r="I65" s="28">
        <f>MAX(Parameters!$C$13,H64*Parameters!$C$12)</f>
        <v>3855.95</v>
      </c>
      <c r="J65" s="28">
        <f>D65*Parameters!$C$20</f>
        <v>3696</v>
      </c>
      <c r="K65" s="28">
        <f>IF(D65&lt;=100,Parameters!$B$6,IF(D65&lt;=500,Parameters!$B$7,IF(D65&lt;=2000,Parameters!$B$8,IF(D65&lt;=10000,Parameters!$B$9,Parameters!$B$10))))</f>
        <v>4000</v>
      </c>
      <c r="L65" s="28">
        <f t="shared" si="8"/>
        <v>11551.95</v>
      </c>
      <c r="M65" s="28">
        <f t="shared" si="9"/>
        <v>8448</v>
      </c>
      <c r="N65" s="28">
        <f t="shared" si="10"/>
        <v>592.04999999999927</v>
      </c>
      <c r="O65" s="28">
        <f t="shared" si="15"/>
        <v>-6462.7499999999982</v>
      </c>
      <c r="P65" s="29">
        <f t="shared" si="11"/>
        <v>0.69565217391304346</v>
      </c>
      <c r="Q65" s="29">
        <f t="shared" si="12"/>
        <v>4.8752470355731166E-2</v>
      </c>
      <c r="R65" s="30">
        <f>Parameters!$C$22</f>
        <v>23</v>
      </c>
      <c r="S65" s="30">
        <f>Parameters!$C$20</f>
        <v>7</v>
      </c>
      <c r="T65" s="30">
        <f>Parameters!$C$14</f>
        <v>60</v>
      </c>
      <c r="U65" s="28">
        <f>IF(Parameters!$C$17&lt;&gt;0,(Parameters!$C$22-Parameters!$C$20)/Parameters!$C$17,0)</f>
        <v>266.66666666666669</v>
      </c>
      <c r="V65" s="31">
        <f>IF((Parameters!$C$22-Parameters!$C$20)&gt;0,Parameters!$C$14/(Parameters!$C$22-Parameters!$C$20),999)</f>
        <v>3.75</v>
      </c>
      <c r="W65" s="32">
        <f>IF(Parameters!$C$14&lt;&gt;0,IF(Parameters!$C$17&lt;&gt;0,(Parameters!$C$22-Parameters!$C$20)/(Parameters!$C$17*Parameters!$C$14),0),0)</f>
        <v>4.4444444444444446</v>
      </c>
      <c r="X65" s="33">
        <f t="shared" si="13"/>
        <v>0</v>
      </c>
    </row>
    <row r="66" spans="1:24" ht="15" customHeight="1" x14ac:dyDescent="0.3">
      <c r="A66" s="25">
        <v>29</v>
      </c>
      <c r="B66" s="26" t="s">
        <v>97</v>
      </c>
      <c r="C66" s="26" t="s">
        <v>3</v>
      </c>
      <c r="D66" s="27">
        <f t="shared" si="14"/>
        <v>583</v>
      </c>
      <c r="E66" s="27">
        <f>ROUND(I66/Parameters!$C$14,0)</f>
        <v>71</v>
      </c>
      <c r="F66" s="27">
        <f>ROUND(D65*Parameters!$C$16,0)</f>
        <v>16</v>
      </c>
      <c r="G66" s="27">
        <f>ROUND(D65*Parameters!$C$17,0)</f>
        <v>32</v>
      </c>
      <c r="H66" s="28">
        <f>D66*Parameters!$C$22</f>
        <v>13409</v>
      </c>
      <c r="I66" s="28">
        <f>MAX(Parameters!$C$13,H65*Parameters!$C$12)</f>
        <v>4250.3999999999996</v>
      </c>
      <c r="J66" s="28">
        <f>D66*Parameters!$C$20</f>
        <v>4081</v>
      </c>
      <c r="K66" s="28">
        <f>IF(D66&lt;=100,Parameters!$B$6,IF(D66&lt;=500,Parameters!$B$7,IF(D66&lt;=2000,Parameters!$B$8,IF(D66&lt;=10000,Parameters!$B$9,Parameters!$B$10))))</f>
        <v>4000</v>
      </c>
      <c r="L66" s="28">
        <f t="shared" ref="L66:L97" si="16">I66+J66+K66</f>
        <v>12331.4</v>
      </c>
      <c r="M66" s="28">
        <f t="shared" ref="M66:M97" si="17">H66-J66</f>
        <v>9328</v>
      </c>
      <c r="N66" s="28">
        <f t="shared" ref="N66:N97" si="18">H66-L66</f>
        <v>1077.6000000000004</v>
      </c>
      <c r="O66" s="28">
        <f t="shared" si="15"/>
        <v>-5385.1499999999978</v>
      </c>
      <c r="P66" s="29">
        <f t="shared" ref="P66:P97" si="19">IF(H66&lt;&gt;0,M66/H66,0)</f>
        <v>0.69565217391304346</v>
      </c>
      <c r="Q66" s="29">
        <f t="shared" ref="Q66:Q97" si="20">IF(H66&lt;&gt;0,N66/H66,0)</f>
        <v>8.0363934670743556E-2</v>
      </c>
      <c r="R66" s="30">
        <f>Parameters!$C$22</f>
        <v>23</v>
      </c>
      <c r="S66" s="30">
        <f>Parameters!$C$20</f>
        <v>7</v>
      </c>
      <c r="T66" s="30">
        <f>Parameters!$C$14</f>
        <v>60</v>
      </c>
      <c r="U66" s="28">
        <f>IF(Parameters!$C$17&lt;&gt;0,(Parameters!$C$22-Parameters!$C$20)/Parameters!$C$17,0)</f>
        <v>266.66666666666669</v>
      </c>
      <c r="V66" s="31">
        <f>IF((Parameters!$C$22-Parameters!$C$20)&gt;0,Parameters!$C$14/(Parameters!$C$22-Parameters!$C$20),999)</f>
        <v>3.75</v>
      </c>
      <c r="W66" s="32">
        <f>IF(Parameters!$C$14&lt;&gt;0,IF(Parameters!$C$17&lt;&gt;0,(Parameters!$C$22-Parameters!$C$20)/(Parameters!$C$17*Parameters!$C$14),0),0)</f>
        <v>4.4444444444444446</v>
      </c>
      <c r="X66" s="33">
        <f t="shared" ref="X66:X97" si="21">IF(O66&gt;=0,1,0)</f>
        <v>0</v>
      </c>
    </row>
    <row r="67" spans="1:24" ht="15" customHeight="1" x14ac:dyDescent="0.3">
      <c r="A67" s="25">
        <v>30</v>
      </c>
      <c r="B67" s="26" t="s">
        <v>98</v>
      </c>
      <c r="C67" s="26" t="s">
        <v>3</v>
      </c>
      <c r="D67" s="27">
        <f t="shared" si="14"/>
        <v>643</v>
      </c>
      <c r="E67" s="27">
        <f>ROUND(I67/Parameters!$C$14,0)</f>
        <v>78</v>
      </c>
      <c r="F67" s="27">
        <f>ROUND(D66*Parameters!$C$16,0)</f>
        <v>17</v>
      </c>
      <c r="G67" s="27">
        <f>ROUND(D66*Parameters!$C$17,0)</f>
        <v>35</v>
      </c>
      <c r="H67" s="28">
        <f>D67*Parameters!$C$22</f>
        <v>14789</v>
      </c>
      <c r="I67" s="28">
        <f>MAX(Parameters!$C$13,H66*Parameters!$C$12)</f>
        <v>4693.1499999999996</v>
      </c>
      <c r="J67" s="28">
        <f>D67*Parameters!$C$20</f>
        <v>4501</v>
      </c>
      <c r="K67" s="28">
        <f>IF(D67&lt;=100,Parameters!$B$6,IF(D67&lt;=500,Parameters!$B$7,IF(D67&lt;=2000,Parameters!$B$8,IF(D67&lt;=10000,Parameters!$B$9,Parameters!$B$10))))</f>
        <v>4000</v>
      </c>
      <c r="L67" s="28">
        <f t="shared" si="16"/>
        <v>13194.15</v>
      </c>
      <c r="M67" s="28">
        <f t="shared" si="17"/>
        <v>10288</v>
      </c>
      <c r="N67" s="28">
        <f t="shared" si="18"/>
        <v>1594.8500000000004</v>
      </c>
      <c r="O67" s="28">
        <f t="shared" si="15"/>
        <v>-3790.2999999999975</v>
      </c>
      <c r="P67" s="29">
        <f t="shared" si="19"/>
        <v>0.69565217391304346</v>
      </c>
      <c r="Q67" s="29">
        <f t="shared" si="20"/>
        <v>0.10784028669957403</v>
      </c>
      <c r="R67" s="30">
        <f>Parameters!$C$22</f>
        <v>23</v>
      </c>
      <c r="S67" s="30">
        <f>Parameters!$C$20</f>
        <v>7</v>
      </c>
      <c r="T67" s="30">
        <f>Parameters!$C$14</f>
        <v>60</v>
      </c>
      <c r="U67" s="28">
        <f>IF(Parameters!$C$17&lt;&gt;0,(Parameters!$C$22-Parameters!$C$20)/Parameters!$C$17,0)</f>
        <v>266.66666666666669</v>
      </c>
      <c r="V67" s="31">
        <f>IF((Parameters!$C$22-Parameters!$C$20)&gt;0,Parameters!$C$14/(Parameters!$C$22-Parameters!$C$20),999)</f>
        <v>3.75</v>
      </c>
      <c r="W67" s="32">
        <f>IF(Parameters!$C$14&lt;&gt;0,IF(Parameters!$C$17&lt;&gt;0,(Parameters!$C$22-Parameters!$C$20)/(Parameters!$C$17*Parameters!$C$14),0),0)</f>
        <v>4.4444444444444446</v>
      </c>
      <c r="X67" s="33">
        <f t="shared" si="21"/>
        <v>0</v>
      </c>
    </row>
    <row r="68" spans="1:24" ht="15" customHeight="1" x14ac:dyDescent="0.3">
      <c r="A68" s="25">
        <v>31</v>
      </c>
      <c r="B68" s="26" t="s">
        <v>99</v>
      </c>
      <c r="C68" s="26" t="s">
        <v>3</v>
      </c>
      <c r="D68" s="27">
        <f t="shared" si="14"/>
        <v>709</v>
      </c>
      <c r="E68" s="27">
        <f>ROUND(I68/Parameters!$C$14,0)</f>
        <v>86</v>
      </c>
      <c r="F68" s="27">
        <f>ROUND(D67*Parameters!$C$16,0)</f>
        <v>19</v>
      </c>
      <c r="G68" s="27">
        <f>ROUND(D67*Parameters!$C$17,0)</f>
        <v>39</v>
      </c>
      <c r="H68" s="28">
        <f>D68*Parameters!$C$22</f>
        <v>16307</v>
      </c>
      <c r="I68" s="28">
        <f>MAX(Parameters!$C$13,H67*Parameters!$C$12)</f>
        <v>5176.1499999999996</v>
      </c>
      <c r="J68" s="28">
        <f>D68*Parameters!$C$20</f>
        <v>4963</v>
      </c>
      <c r="K68" s="28">
        <f>IF(D68&lt;=100,Parameters!$B$6,IF(D68&lt;=500,Parameters!$B$7,IF(D68&lt;=2000,Parameters!$B$8,IF(D68&lt;=10000,Parameters!$B$9,Parameters!$B$10))))</f>
        <v>4000</v>
      </c>
      <c r="L68" s="28">
        <f t="shared" si="16"/>
        <v>14139.15</v>
      </c>
      <c r="M68" s="28">
        <f t="shared" si="17"/>
        <v>11344</v>
      </c>
      <c r="N68" s="28">
        <f t="shared" si="18"/>
        <v>2167.8500000000004</v>
      </c>
      <c r="O68" s="28">
        <f t="shared" si="15"/>
        <v>-1622.4499999999971</v>
      </c>
      <c r="P68" s="29">
        <f t="shared" si="19"/>
        <v>0.69565217391304346</v>
      </c>
      <c r="Q68" s="29">
        <f t="shared" si="20"/>
        <v>0.1329398417857362</v>
      </c>
      <c r="R68" s="30">
        <f>Parameters!$C$22</f>
        <v>23</v>
      </c>
      <c r="S68" s="30">
        <f>Parameters!$C$20</f>
        <v>7</v>
      </c>
      <c r="T68" s="30">
        <f>Parameters!$C$14</f>
        <v>60</v>
      </c>
      <c r="U68" s="28">
        <f>IF(Parameters!$C$17&lt;&gt;0,(Parameters!$C$22-Parameters!$C$20)/Parameters!$C$17,0)</f>
        <v>266.66666666666669</v>
      </c>
      <c r="V68" s="31">
        <f>IF((Parameters!$C$22-Parameters!$C$20)&gt;0,Parameters!$C$14/(Parameters!$C$22-Parameters!$C$20),999)</f>
        <v>3.75</v>
      </c>
      <c r="W68" s="32">
        <f>IF(Parameters!$C$14&lt;&gt;0,IF(Parameters!$C$17&lt;&gt;0,(Parameters!$C$22-Parameters!$C$20)/(Parameters!$C$17*Parameters!$C$14),0),0)</f>
        <v>4.4444444444444446</v>
      </c>
      <c r="X68" s="33">
        <f t="shared" si="21"/>
        <v>0</v>
      </c>
    </row>
    <row r="69" spans="1:24" ht="15" customHeight="1" x14ac:dyDescent="0.3">
      <c r="A69" s="25">
        <v>32</v>
      </c>
      <c r="B69" s="26" t="s">
        <v>100</v>
      </c>
      <c r="C69" s="26" t="s">
        <v>3</v>
      </c>
      <c r="D69" s="27">
        <f t="shared" si="14"/>
        <v>782</v>
      </c>
      <c r="E69" s="27">
        <f>ROUND(I69/Parameters!$C$14,0)</f>
        <v>95</v>
      </c>
      <c r="F69" s="27">
        <f>ROUND(D68*Parameters!$C$16,0)</f>
        <v>21</v>
      </c>
      <c r="G69" s="27">
        <f>ROUND(D68*Parameters!$C$17,0)</f>
        <v>43</v>
      </c>
      <c r="H69" s="28">
        <f>D69*Parameters!$C$22</f>
        <v>17986</v>
      </c>
      <c r="I69" s="28">
        <f>MAX(Parameters!$C$13,H68*Parameters!$C$12)</f>
        <v>5707.45</v>
      </c>
      <c r="J69" s="28">
        <f>D69*Parameters!$C$20</f>
        <v>5474</v>
      </c>
      <c r="K69" s="28">
        <f>IF(D69&lt;=100,Parameters!$B$6,IF(D69&lt;=500,Parameters!$B$7,IF(D69&lt;=2000,Parameters!$B$8,IF(D69&lt;=10000,Parameters!$B$9,Parameters!$B$10))))</f>
        <v>4000</v>
      </c>
      <c r="L69" s="28">
        <f t="shared" si="16"/>
        <v>15181.45</v>
      </c>
      <c r="M69" s="28">
        <f t="shared" si="17"/>
        <v>12512</v>
      </c>
      <c r="N69" s="28">
        <f t="shared" si="18"/>
        <v>2804.5499999999993</v>
      </c>
      <c r="O69" s="28">
        <f t="shared" si="15"/>
        <v>1182.1000000000022</v>
      </c>
      <c r="P69" s="29">
        <f t="shared" si="19"/>
        <v>0.69565217391304346</v>
      </c>
      <c r="Q69" s="29">
        <f t="shared" si="20"/>
        <v>0.15592961192038249</v>
      </c>
      <c r="R69" s="30">
        <f>Parameters!$C$22</f>
        <v>23</v>
      </c>
      <c r="S69" s="30">
        <f>Parameters!$C$20</f>
        <v>7</v>
      </c>
      <c r="T69" s="30">
        <f>Parameters!$C$14</f>
        <v>60</v>
      </c>
      <c r="U69" s="28">
        <f>IF(Parameters!$C$17&lt;&gt;0,(Parameters!$C$22-Parameters!$C$20)/Parameters!$C$17,0)</f>
        <v>266.66666666666669</v>
      </c>
      <c r="V69" s="31">
        <f>IF((Parameters!$C$22-Parameters!$C$20)&gt;0,Parameters!$C$14/(Parameters!$C$22-Parameters!$C$20),999)</f>
        <v>3.75</v>
      </c>
      <c r="W69" s="32">
        <f>IF(Parameters!$C$14&lt;&gt;0,IF(Parameters!$C$17&lt;&gt;0,(Parameters!$C$22-Parameters!$C$20)/(Parameters!$C$17*Parameters!$C$14),0),0)</f>
        <v>4.4444444444444446</v>
      </c>
      <c r="X69" s="33">
        <f t="shared" si="21"/>
        <v>1</v>
      </c>
    </row>
    <row r="70" spans="1:24" ht="15" customHeight="1" x14ac:dyDescent="0.3">
      <c r="A70" s="25">
        <v>33</v>
      </c>
      <c r="B70" s="26" t="s">
        <v>101</v>
      </c>
      <c r="C70" s="26" t="s">
        <v>3</v>
      </c>
      <c r="D70" s="27">
        <f t="shared" si="14"/>
        <v>863</v>
      </c>
      <c r="E70" s="27">
        <f>ROUND(I70/Parameters!$C$14,0)</f>
        <v>105</v>
      </c>
      <c r="F70" s="27">
        <f>ROUND(D69*Parameters!$C$16,0)</f>
        <v>23</v>
      </c>
      <c r="G70" s="27">
        <f>ROUND(D69*Parameters!$C$17,0)</f>
        <v>47</v>
      </c>
      <c r="H70" s="28">
        <f>D70*Parameters!$C$22</f>
        <v>19849</v>
      </c>
      <c r="I70" s="28">
        <f>MAX(Parameters!$C$13,H69*Parameters!$C$12)</f>
        <v>6295.0999999999995</v>
      </c>
      <c r="J70" s="28">
        <f>D70*Parameters!$C$20</f>
        <v>6041</v>
      </c>
      <c r="K70" s="28">
        <f>IF(D70&lt;=100,Parameters!$B$6,IF(D70&lt;=500,Parameters!$B$7,IF(D70&lt;=2000,Parameters!$B$8,IF(D70&lt;=10000,Parameters!$B$9,Parameters!$B$10))))</f>
        <v>4000</v>
      </c>
      <c r="L70" s="28">
        <f t="shared" si="16"/>
        <v>16336.099999999999</v>
      </c>
      <c r="M70" s="28">
        <f t="shared" si="17"/>
        <v>13808</v>
      </c>
      <c r="N70" s="28">
        <f t="shared" si="18"/>
        <v>3512.9000000000015</v>
      </c>
      <c r="O70" s="28">
        <f t="shared" si="15"/>
        <v>4695.0000000000036</v>
      </c>
      <c r="P70" s="29">
        <f t="shared" si="19"/>
        <v>0.69565217391304346</v>
      </c>
      <c r="Q70" s="29">
        <f t="shared" si="20"/>
        <v>0.17698120812131601</v>
      </c>
      <c r="R70" s="30">
        <f>Parameters!$C$22</f>
        <v>23</v>
      </c>
      <c r="S70" s="30">
        <f>Parameters!$C$20</f>
        <v>7</v>
      </c>
      <c r="T70" s="30">
        <f>Parameters!$C$14</f>
        <v>60</v>
      </c>
      <c r="U70" s="28">
        <f>IF(Parameters!$C$17&lt;&gt;0,(Parameters!$C$22-Parameters!$C$20)/Parameters!$C$17,0)</f>
        <v>266.66666666666669</v>
      </c>
      <c r="V70" s="31">
        <f>IF((Parameters!$C$22-Parameters!$C$20)&gt;0,Parameters!$C$14/(Parameters!$C$22-Parameters!$C$20),999)</f>
        <v>3.75</v>
      </c>
      <c r="W70" s="32">
        <f>IF(Parameters!$C$14&lt;&gt;0,IF(Parameters!$C$17&lt;&gt;0,(Parameters!$C$22-Parameters!$C$20)/(Parameters!$C$17*Parameters!$C$14),0),0)</f>
        <v>4.4444444444444446</v>
      </c>
      <c r="X70" s="33">
        <f t="shared" si="21"/>
        <v>1</v>
      </c>
    </row>
    <row r="71" spans="1:24" ht="15" customHeight="1" x14ac:dyDescent="0.3">
      <c r="A71" s="25">
        <v>34</v>
      </c>
      <c r="B71" s="26" t="s">
        <v>102</v>
      </c>
      <c r="C71" s="26" t="s">
        <v>3</v>
      </c>
      <c r="D71" s="27">
        <f t="shared" si="14"/>
        <v>953</v>
      </c>
      <c r="E71" s="27">
        <f>ROUND(I71/Parameters!$C$14,0)</f>
        <v>116</v>
      </c>
      <c r="F71" s="27">
        <f>ROUND(D70*Parameters!$C$16,0)</f>
        <v>26</v>
      </c>
      <c r="G71" s="27">
        <f>ROUND(D70*Parameters!$C$17,0)</f>
        <v>52</v>
      </c>
      <c r="H71" s="28">
        <f>D71*Parameters!$C$22</f>
        <v>21919</v>
      </c>
      <c r="I71" s="28">
        <f>MAX(Parameters!$C$13,H70*Parameters!$C$12)</f>
        <v>6947.15</v>
      </c>
      <c r="J71" s="28">
        <f>D71*Parameters!$C$20</f>
        <v>6671</v>
      </c>
      <c r="K71" s="28">
        <f>IF(D71&lt;=100,Parameters!$B$6,IF(D71&lt;=500,Parameters!$B$7,IF(D71&lt;=2000,Parameters!$B$8,IF(D71&lt;=10000,Parameters!$B$9,Parameters!$B$10))))</f>
        <v>4000</v>
      </c>
      <c r="L71" s="28">
        <f t="shared" si="16"/>
        <v>17618.150000000001</v>
      </c>
      <c r="M71" s="28">
        <f t="shared" si="17"/>
        <v>15248</v>
      </c>
      <c r="N71" s="28">
        <f t="shared" si="18"/>
        <v>4300.8499999999985</v>
      </c>
      <c r="O71" s="28">
        <f t="shared" si="15"/>
        <v>8995.8500000000022</v>
      </c>
      <c r="P71" s="29">
        <f t="shared" si="19"/>
        <v>0.69565217391304346</v>
      </c>
      <c r="Q71" s="29">
        <f t="shared" si="20"/>
        <v>0.19621561202609603</v>
      </c>
      <c r="R71" s="30">
        <f>Parameters!$C$22</f>
        <v>23</v>
      </c>
      <c r="S71" s="30">
        <f>Parameters!$C$20</f>
        <v>7</v>
      </c>
      <c r="T71" s="30">
        <f>Parameters!$C$14</f>
        <v>60</v>
      </c>
      <c r="U71" s="28">
        <f>IF(Parameters!$C$17&lt;&gt;0,(Parameters!$C$22-Parameters!$C$20)/Parameters!$C$17,0)</f>
        <v>266.66666666666669</v>
      </c>
      <c r="V71" s="31">
        <f>IF((Parameters!$C$22-Parameters!$C$20)&gt;0,Parameters!$C$14/(Parameters!$C$22-Parameters!$C$20),999)</f>
        <v>3.75</v>
      </c>
      <c r="W71" s="32">
        <f>IF(Parameters!$C$14&lt;&gt;0,IF(Parameters!$C$17&lt;&gt;0,(Parameters!$C$22-Parameters!$C$20)/(Parameters!$C$17*Parameters!$C$14),0),0)</f>
        <v>4.4444444444444446</v>
      </c>
      <c r="X71" s="33">
        <f t="shared" si="21"/>
        <v>1</v>
      </c>
    </row>
    <row r="72" spans="1:24" ht="15" customHeight="1" x14ac:dyDescent="0.3">
      <c r="A72" s="25">
        <v>35</v>
      </c>
      <c r="B72" s="26" t="s">
        <v>103</v>
      </c>
      <c r="C72" s="26" t="s">
        <v>3</v>
      </c>
      <c r="D72" s="27">
        <f t="shared" si="14"/>
        <v>1053</v>
      </c>
      <c r="E72" s="27">
        <f>ROUND(I72/Parameters!$C$14,0)</f>
        <v>128</v>
      </c>
      <c r="F72" s="27">
        <f>ROUND(D71*Parameters!$C$16,0)</f>
        <v>29</v>
      </c>
      <c r="G72" s="27">
        <f>ROUND(D71*Parameters!$C$17,0)</f>
        <v>57</v>
      </c>
      <c r="H72" s="28">
        <f>D72*Parameters!$C$22</f>
        <v>24219</v>
      </c>
      <c r="I72" s="28">
        <f>MAX(Parameters!$C$13,H71*Parameters!$C$12)</f>
        <v>7671.65</v>
      </c>
      <c r="J72" s="28">
        <f>D72*Parameters!$C$20</f>
        <v>7371</v>
      </c>
      <c r="K72" s="28">
        <f>IF(D72&lt;=100,Parameters!$B$6,IF(D72&lt;=500,Parameters!$B$7,IF(D72&lt;=2000,Parameters!$B$8,IF(D72&lt;=10000,Parameters!$B$9,Parameters!$B$10))))</f>
        <v>4000</v>
      </c>
      <c r="L72" s="28">
        <f t="shared" si="16"/>
        <v>19042.650000000001</v>
      </c>
      <c r="M72" s="28">
        <f t="shared" si="17"/>
        <v>16848</v>
      </c>
      <c r="N72" s="28">
        <f t="shared" si="18"/>
        <v>5176.3499999999985</v>
      </c>
      <c r="O72" s="28">
        <f t="shared" si="15"/>
        <v>14172.2</v>
      </c>
      <c r="P72" s="29">
        <f t="shared" si="19"/>
        <v>0.69565217391304346</v>
      </c>
      <c r="Q72" s="29">
        <f t="shared" si="20"/>
        <v>0.21373095503530279</v>
      </c>
      <c r="R72" s="30">
        <f>Parameters!$C$22</f>
        <v>23</v>
      </c>
      <c r="S72" s="30">
        <f>Parameters!$C$20</f>
        <v>7</v>
      </c>
      <c r="T72" s="30">
        <f>Parameters!$C$14</f>
        <v>60</v>
      </c>
      <c r="U72" s="28">
        <f>IF(Parameters!$C$17&lt;&gt;0,(Parameters!$C$22-Parameters!$C$20)/Parameters!$C$17,0)</f>
        <v>266.66666666666669</v>
      </c>
      <c r="V72" s="31">
        <f>IF((Parameters!$C$22-Parameters!$C$20)&gt;0,Parameters!$C$14/(Parameters!$C$22-Parameters!$C$20),999)</f>
        <v>3.75</v>
      </c>
      <c r="W72" s="32">
        <f>IF(Parameters!$C$14&lt;&gt;0,IF(Parameters!$C$17&lt;&gt;0,(Parameters!$C$22-Parameters!$C$20)/(Parameters!$C$17*Parameters!$C$14),0),0)</f>
        <v>4.4444444444444446</v>
      </c>
      <c r="X72" s="33">
        <f t="shared" si="21"/>
        <v>1</v>
      </c>
    </row>
    <row r="73" spans="1:24" ht="15" customHeight="1" x14ac:dyDescent="0.3">
      <c r="A73" s="25">
        <v>36</v>
      </c>
      <c r="B73" s="26" t="s">
        <v>104</v>
      </c>
      <c r="C73" s="26" t="s">
        <v>3</v>
      </c>
      <c r="D73" s="27">
        <f t="shared" si="14"/>
        <v>1163</v>
      </c>
      <c r="E73" s="27">
        <f>ROUND(I73/Parameters!$C$14,0)</f>
        <v>141</v>
      </c>
      <c r="F73" s="27">
        <f>ROUND(D72*Parameters!$C$16,0)</f>
        <v>32</v>
      </c>
      <c r="G73" s="27">
        <f>ROUND(D72*Parameters!$C$17,0)</f>
        <v>63</v>
      </c>
      <c r="H73" s="28">
        <f>D73*Parameters!$C$22</f>
        <v>26749</v>
      </c>
      <c r="I73" s="28">
        <f>MAX(Parameters!$C$13,H72*Parameters!$C$12)</f>
        <v>8476.65</v>
      </c>
      <c r="J73" s="28">
        <f>D73*Parameters!$C$20</f>
        <v>8141</v>
      </c>
      <c r="K73" s="28">
        <f>IF(D73&lt;=100,Parameters!$B$6,IF(D73&lt;=500,Parameters!$B$7,IF(D73&lt;=2000,Parameters!$B$8,IF(D73&lt;=10000,Parameters!$B$9,Parameters!$B$10))))</f>
        <v>4000</v>
      </c>
      <c r="L73" s="28">
        <f t="shared" si="16"/>
        <v>20617.650000000001</v>
      </c>
      <c r="M73" s="28">
        <f t="shared" si="17"/>
        <v>18608</v>
      </c>
      <c r="N73" s="28">
        <f t="shared" si="18"/>
        <v>6131.3499999999985</v>
      </c>
      <c r="O73" s="28">
        <f t="shared" si="15"/>
        <v>20303.55</v>
      </c>
      <c r="P73" s="29">
        <f t="shared" si="19"/>
        <v>0.69565217391304346</v>
      </c>
      <c r="Q73" s="29">
        <f t="shared" si="20"/>
        <v>0.2292179146883995</v>
      </c>
      <c r="R73" s="30">
        <f>Parameters!$C$22</f>
        <v>23</v>
      </c>
      <c r="S73" s="30">
        <f>Parameters!$C$20</f>
        <v>7</v>
      </c>
      <c r="T73" s="30">
        <f>Parameters!$C$14</f>
        <v>60</v>
      </c>
      <c r="U73" s="28">
        <f>IF(Parameters!$C$17&lt;&gt;0,(Parameters!$C$22-Parameters!$C$20)/Parameters!$C$17,0)</f>
        <v>266.66666666666669</v>
      </c>
      <c r="V73" s="31">
        <f>IF((Parameters!$C$22-Parameters!$C$20)&gt;0,Parameters!$C$14/(Parameters!$C$22-Parameters!$C$20),999)</f>
        <v>3.75</v>
      </c>
      <c r="W73" s="32">
        <f>IF(Parameters!$C$14&lt;&gt;0,IF(Parameters!$C$17&lt;&gt;0,(Parameters!$C$22-Parameters!$C$20)/(Parameters!$C$17*Parameters!$C$14),0),0)</f>
        <v>4.4444444444444446</v>
      </c>
      <c r="X73" s="33">
        <f t="shared" si="21"/>
        <v>1</v>
      </c>
    </row>
    <row r="74" spans="1:24" ht="15" customHeight="1" x14ac:dyDescent="0.3">
      <c r="A74" s="34">
        <v>1</v>
      </c>
      <c r="B74" s="35" t="s">
        <v>69</v>
      </c>
      <c r="C74" s="35" t="s">
        <v>4</v>
      </c>
      <c r="D74" s="36">
        <f>MAX(0,Parameters!$D$18+E74+F74-G74)</f>
        <v>15</v>
      </c>
      <c r="E74" s="36">
        <f>ROUND(I74/Parameters!$D$14,0)</f>
        <v>15</v>
      </c>
      <c r="F74" s="36">
        <f>ROUND(Parameters!$D$18*Parameters!$D$16,0)</f>
        <v>0</v>
      </c>
      <c r="G74" s="36">
        <f>ROUND(Parameters!$D$18*Parameters!$D$17,0)</f>
        <v>0</v>
      </c>
      <c r="H74" s="37">
        <f>D74*Parameters!$D$22</f>
        <v>435</v>
      </c>
      <c r="I74" s="37">
        <f>MAX(Parameters!$D$13,0)</f>
        <v>800</v>
      </c>
      <c r="J74" s="37">
        <f>D74*Parameters!$D$20</f>
        <v>90</v>
      </c>
      <c r="K74" s="37">
        <f>IF(D74&lt;=100,Parameters!$B$6,IF(D74&lt;=500,Parameters!$B$7,IF(D74&lt;=2000,Parameters!$B$8,IF(D74&lt;=10000,Parameters!$B$9,Parameters!$B$10))))</f>
        <v>1000</v>
      </c>
      <c r="L74" s="37">
        <f t="shared" si="16"/>
        <v>1890</v>
      </c>
      <c r="M74" s="37">
        <f t="shared" si="17"/>
        <v>345</v>
      </c>
      <c r="N74" s="37">
        <f t="shared" si="18"/>
        <v>-1455</v>
      </c>
      <c r="O74" s="37">
        <f>N74-Parameters!$D$4</f>
        <v>-2455</v>
      </c>
      <c r="P74" s="38">
        <f t="shared" si="19"/>
        <v>0.7931034482758621</v>
      </c>
      <c r="Q74" s="38">
        <f t="shared" si="20"/>
        <v>-3.3448275862068964</v>
      </c>
      <c r="R74" s="39">
        <f>Parameters!$D$22</f>
        <v>29</v>
      </c>
      <c r="S74" s="39">
        <f>Parameters!$D$20</f>
        <v>6</v>
      </c>
      <c r="T74" s="39">
        <f>Parameters!$D$14</f>
        <v>55</v>
      </c>
      <c r="U74" s="37">
        <f>IF(Parameters!$D$17&lt;&gt;0,(Parameters!$D$22-Parameters!$D$20)/Parameters!$D$17,0)</f>
        <v>575</v>
      </c>
      <c r="V74" s="40">
        <f>IF((Parameters!$D$22-Parameters!$D$20)&gt;0,Parameters!$D$14/(Parameters!$D$22-Parameters!$D$20),999)</f>
        <v>2.3913043478260869</v>
      </c>
      <c r="W74" s="41">
        <f>IF(Parameters!$D$14&lt;&gt;0,IF(Parameters!$D$17&lt;&gt;0,(Parameters!$D$22-Parameters!$D$20)/(Parameters!$D$17*Parameters!$D$14),0),0)</f>
        <v>10.454545454545453</v>
      </c>
      <c r="X74" s="42">
        <f t="shared" si="21"/>
        <v>0</v>
      </c>
    </row>
    <row r="75" spans="1:24" ht="15" customHeight="1" x14ac:dyDescent="0.3">
      <c r="A75" s="34">
        <v>2</v>
      </c>
      <c r="B75" s="35" t="s">
        <v>70</v>
      </c>
      <c r="C75" s="35" t="s">
        <v>4</v>
      </c>
      <c r="D75" s="36">
        <f t="shared" ref="D75:D109" si="22">MAX(0,D74+E75+F75-G75)</f>
        <v>30</v>
      </c>
      <c r="E75" s="36">
        <f>ROUND(I75/Parameters!$D$14,0)</f>
        <v>15</v>
      </c>
      <c r="F75" s="36">
        <f>ROUND(D74*Parameters!$D$16,0)</f>
        <v>1</v>
      </c>
      <c r="G75" s="36">
        <f>ROUND(D74*Parameters!$D$17,0)</f>
        <v>1</v>
      </c>
      <c r="H75" s="37">
        <f>D75*Parameters!$D$22</f>
        <v>870</v>
      </c>
      <c r="I75" s="37">
        <f>MAX(Parameters!$D$13,H74*Parameters!$D$12)</f>
        <v>800</v>
      </c>
      <c r="J75" s="37">
        <f>D75*Parameters!$D$20</f>
        <v>180</v>
      </c>
      <c r="K75" s="37">
        <f>IF(D75&lt;=100,Parameters!$B$6,IF(D75&lt;=500,Parameters!$B$7,IF(D75&lt;=2000,Parameters!$B$8,IF(D75&lt;=10000,Parameters!$B$9,Parameters!$B$10))))</f>
        <v>1000</v>
      </c>
      <c r="L75" s="37">
        <f t="shared" si="16"/>
        <v>1980</v>
      </c>
      <c r="M75" s="37">
        <f t="shared" si="17"/>
        <v>690</v>
      </c>
      <c r="N75" s="37">
        <f t="shared" si="18"/>
        <v>-1110</v>
      </c>
      <c r="O75" s="37">
        <f t="shared" ref="O75:O109" si="23">O74+N75</f>
        <v>-3565</v>
      </c>
      <c r="P75" s="38">
        <f t="shared" si="19"/>
        <v>0.7931034482758621</v>
      </c>
      <c r="Q75" s="38">
        <f t="shared" si="20"/>
        <v>-1.2758620689655173</v>
      </c>
      <c r="R75" s="39">
        <f>Parameters!$D$22</f>
        <v>29</v>
      </c>
      <c r="S75" s="39">
        <f>Parameters!$D$20</f>
        <v>6</v>
      </c>
      <c r="T75" s="39">
        <f>Parameters!$D$14</f>
        <v>55</v>
      </c>
      <c r="U75" s="37">
        <f>IF(Parameters!$D$17&lt;&gt;0,(Parameters!$D$22-Parameters!$D$20)/Parameters!$D$17,0)</f>
        <v>575</v>
      </c>
      <c r="V75" s="40">
        <f>IF((Parameters!$D$22-Parameters!$D$20)&gt;0,Parameters!$D$14/(Parameters!$D$22-Parameters!$D$20),999)</f>
        <v>2.3913043478260869</v>
      </c>
      <c r="W75" s="41">
        <f>IF(Parameters!$D$14&lt;&gt;0,IF(Parameters!$D$17&lt;&gt;0,(Parameters!$D$22-Parameters!$D$20)/(Parameters!$D$17*Parameters!$D$14),0),0)</f>
        <v>10.454545454545453</v>
      </c>
      <c r="X75" s="42">
        <f t="shared" si="21"/>
        <v>0</v>
      </c>
    </row>
    <row r="76" spans="1:24" ht="15" customHeight="1" x14ac:dyDescent="0.3">
      <c r="A76" s="34">
        <v>3</v>
      </c>
      <c r="B76" s="35" t="s">
        <v>71</v>
      </c>
      <c r="C76" s="35" t="s">
        <v>4</v>
      </c>
      <c r="D76" s="36">
        <f t="shared" si="22"/>
        <v>45</v>
      </c>
      <c r="E76" s="36">
        <f>ROUND(I76/Parameters!$D$14,0)</f>
        <v>15</v>
      </c>
      <c r="F76" s="36">
        <f>ROUND(D75*Parameters!$D$16,0)</f>
        <v>1</v>
      </c>
      <c r="G76" s="36">
        <f>ROUND(D75*Parameters!$D$17,0)</f>
        <v>1</v>
      </c>
      <c r="H76" s="37">
        <f>D76*Parameters!$D$22</f>
        <v>1305</v>
      </c>
      <c r="I76" s="37">
        <f>MAX(Parameters!$D$13,H75*Parameters!$D$12)</f>
        <v>800</v>
      </c>
      <c r="J76" s="37">
        <f>D76*Parameters!$D$20</f>
        <v>270</v>
      </c>
      <c r="K76" s="37">
        <f>IF(D76&lt;=100,Parameters!$B$6,IF(D76&lt;=500,Parameters!$B$7,IF(D76&lt;=2000,Parameters!$B$8,IF(D76&lt;=10000,Parameters!$B$9,Parameters!$B$10))))</f>
        <v>1000</v>
      </c>
      <c r="L76" s="37">
        <f t="shared" si="16"/>
        <v>2070</v>
      </c>
      <c r="M76" s="37">
        <f t="shared" si="17"/>
        <v>1035</v>
      </c>
      <c r="N76" s="37">
        <f t="shared" si="18"/>
        <v>-765</v>
      </c>
      <c r="O76" s="37">
        <f t="shared" si="23"/>
        <v>-4330</v>
      </c>
      <c r="P76" s="38">
        <f t="shared" si="19"/>
        <v>0.7931034482758621</v>
      </c>
      <c r="Q76" s="38">
        <f t="shared" si="20"/>
        <v>-0.58620689655172409</v>
      </c>
      <c r="R76" s="39">
        <f>Parameters!$D$22</f>
        <v>29</v>
      </c>
      <c r="S76" s="39">
        <f>Parameters!$D$20</f>
        <v>6</v>
      </c>
      <c r="T76" s="39">
        <f>Parameters!$D$14</f>
        <v>55</v>
      </c>
      <c r="U76" s="37">
        <f>IF(Parameters!$D$17&lt;&gt;0,(Parameters!$D$22-Parameters!$D$20)/Parameters!$D$17,0)</f>
        <v>575</v>
      </c>
      <c r="V76" s="40">
        <f>IF((Parameters!$D$22-Parameters!$D$20)&gt;0,Parameters!$D$14/(Parameters!$D$22-Parameters!$D$20),999)</f>
        <v>2.3913043478260869</v>
      </c>
      <c r="W76" s="41">
        <f>IF(Parameters!$D$14&lt;&gt;0,IF(Parameters!$D$17&lt;&gt;0,(Parameters!$D$22-Parameters!$D$20)/(Parameters!$D$17*Parameters!$D$14),0),0)</f>
        <v>10.454545454545453</v>
      </c>
      <c r="X76" s="42">
        <f t="shared" si="21"/>
        <v>0</v>
      </c>
    </row>
    <row r="77" spans="1:24" ht="15" customHeight="1" x14ac:dyDescent="0.3">
      <c r="A77" s="34">
        <v>4</v>
      </c>
      <c r="B77" s="35" t="s">
        <v>72</v>
      </c>
      <c r="C77" s="35" t="s">
        <v>4</v>
      </c>
      <c r="D77" s="36">
        <f t="shared" si="22"/>
        <v>60</v>
      </c>
      <c r="E77" s="36">
        <f>ROUND(I77/Parameters!$D$14,0)</f>
        <v>15</v>
      </c>
      <c r="F77" s="36">
        <f>ROUND(D76*Parameters!$D$16,0)</f>
        <v>2</v>
      </c>
      <c r="G77" s="36">
        <f>ROUND(D76*Parameters!$D$17,0)</f>
        <v>2</v>
      </c>
      <c r="H77" s="37">
        <f>D77*Parameters!$D$22</f>
        <v>1740</v>
      </c>
      <c r="I77" s="37">
        <f>MAX(Parameters!$D$13,H76*Parameters!$D$12)</f>
        <v>800</v>
      </c>
      <c r="J77" s="37">
        <f>D77*Parameters!$D$20</f>
        <v>360</v>
      </c>
      <c r="K77" s="37">
        <f>IF(D77&lt;=100,Parameters!$B$6,IF(D77&lt;=500,Parameters!$B$7,IF(D77&lt;=2000,Parameters!$B$8,IF(D77&lt;=10000,Parameters!$B$9,Parameters!$B$10))))</f>
        <v>1000</v>
      </c>
      <c r="L77" s="37">
        <f t="shared" si="16"/>
        <v>2160</v>
      </c>
      <c r="M77" s="37">
        <f t="shared" si="17"/>
        <v>1380</v>
      </c>
      <c r="N77" s="37">
        <f t="shared" si="18"/>
        <v>-420</v>
      </c>
      <c r="O77" s="37">
        <f t="shared" si="23"/>
        <v>-4750</v>
      </c>
      <c r="P77" s="38">
        <f t="shared" si="19"/>
        <v>0.7931034482758621</v>
      </c>
      <c r="Q77" s="38">
        <f t="shared" si="20"/>
        <v>-0.2413793103448276</v>
      </c>
      <c r="R77" s="39">
        <f>Parameters!$D$22</f>
        <v>29</v>
      </c>
      <c r="S77" s="39">
        <f>Parameters!$D$20</f>
        <v>6</v>
      </c>
      <c r="T77" s="39">
        <f>Parameters!$D$14</f>
        <v>55</v>
      </c>
      <c r="U77" s="37">
        <f>IF(Parameters!$D$17&lt;&gt;0,(Parameters!$D$22-Parameters!$D$20)/Parameters!$D$17,0)</f>
        <v>575</v>
      </c>
      <c r="V77" s="40">
        <f>IF((Parameters!$D$22-Parameters!$D$20)&gt;0,Parameters!$D$14/(Parameters!$D$22-Parameters!$D$20),999)</f>
        <v>2.3913043478260869</v>
      </c>
      <c r="W77" s="41">
        <f>IF(Parameters!$D$14&lt;&gt;0,IF(Parameters!$D$17&lt;&gt;0,(Parameters!$D$22-Parameters!$D$20)/(Parameters!$D$17*Parameters!$D$14),0),0)</f>
        <v>10.454545454545453</v>
      </c>
      <c r="X77" s="42">
        <f t="shared" si="21"/>
        <v>0</v>
      </c>
    </row>
    <row r="78" spans="1:24" ht="15" customHeight="1" x14ac:dyDescent="0.3">
      <c r="A78" s="34">
        <v>5</v>
      </c>
      <c r="B78" s="35" t="s">
        <v>73</v>
      </c>
      <c r="C78" s="35" t="s">
        <v>4</v>
      </c>
      <c r="D78" s="36">
        <f t="shared" si="22"/>
        <v>75</v>
      </c>
      <c r="E78" s="36">
        <f>ROUND(I78/Parameters!$D$14,0)</f>
        <v>15</v>
      </c>
      <c r="F78" s="36">
        <f>ROUND(D77*Parameters!$D$16,0)</f>
        <v>2</v>
      </c>
      <c r="G78" s="36">
        <f>ROUND(D77*Parameters!$D$17,0)</f>
        <v>2</v>
      </c>
      <c r="H78" s="37">
        <f>D78*Parameters!$D$22</f>
        <v>2175</v>
      </c>
      <c r="I78" s="37">
        <f>MAX(Parameters!$D$13,H77*Parameters!$D$12)</f>
        <v>800</v>
      </c>
      <c r="J78" s="37">
        <f>D78*Parameters!$D$20</f>
        <v>450</v>
      </c>
      <c r="K78" s="37">
        <f>IF(D78&lt;=100,Parameters!$B$6,IF(D78&lt;=500,Parameters!$B$7,IF(D78&lt;=2000,Parameters!$B$8,IF(D78&lt;=10000,Parameters!$B$9,Parameters!$B$10))))</f>
        <v>1000</v>
      </c>
      <c r="L78" s="37">
        <f t="shared" si="16"/>
        <v>2250</v>
      </c>
      <c r="M78" s="37">
        <f t="shared" si="17"/>
        <v>1725</v>
      </c>
      <c r="N78" s="37">
        <f t="shared" si="18"/>
        <v>-75</v>
      </c>
      <c r="O78" s="37">
        <f t="shared" si="23"/>
        <v>-4825</v>
      </c>
      <c r="P78" s="38">
        <f t="shared" si="19"/>
        <v>0.7931034482758621</v>
      </c>
      <c r="Q78" s="38">
        <f t="shared" si="20"/>
        <v>-3.4482758620689655E-2</v>
      </c>
      <c r="R78" s="39">
        <f>Parameters!$D$22</f>
        <v>29</v>
      </c>
      <c r="S78" s="39">
        <f>Parameters!$D$20</f>
        <v>6</v>
      </c>
      <c r="T78" s="39">
        <f>Parameters!$D$14</f>
        <v>55</v>
      </c>
      <c r="U78" s="37">
        <f>IF(Parameters!$D$17&lt;&gt;0,(Parameters!$D$22-Parameters!$D$20)/Parameters!$D$17,0)</f>
        <v>575</v>
      </c>
      <c r="V78" s="40">
        <f>IF((Parameters!$D$22-Parameters!$D$20)&gt;0,Parameters!$D$14/(Parameters!$D$22-Parameters!$D$20),999)</f>
        <v>2.3913043478260869</v>
      </c>
      <c r="W78" s="41">
        <f>IF(Parameters!$D$14&lt;&gt;0,IF(Parameters!$D$17&lt;&gt;0,(Parameters!$D$22-Parameters!$D$20)/(Parameters!$D$17*Parameters!$D$14),0),0)</f>
        <v>10.454545454545453</v>
      </c>
      <c r="X78" s="42">
        <f t="shared" si="21"/>
        <v>0</v>
      </c>
    </row>
    <row r="79" spans="1:24" ht="15" customHeight="1" x14ac:dyDescent="0.3">
      <c r="A79" s="34">
        <v>6</v>
      </c>
      <c r="B79" s="35" t="s">
        <v>74</v>
      </c>
      <c r="C79" s="35" t="s">
        <v>4</v>
      </c>
      <c r="D79" s="36">
        <f t="shared" si="22"/>
        <v>93</v>
      </c>
      <c r="E79" s="36">
        <f>ROUND(I79/Parameters!$D$14,0)</f>
        <v>18</v>
      </c>
      <c r="F79" s="36">
        <f>ROUND(D78*Parameters!$D$16,0)</f>
        <v>3</v>
      </c>
      <c r="G79" s="36">
        <f>ROUND(D78*Parameters!$D$17,0)</f>
        <v>3</v>
      </c>
      <c r="H79" s="37">
        <f>D79*Parameters!$D$22</f>
        <v>2697</v>
      </c>
      <c r="I79" s="37">
        <f>MAX(Parameters!$D$13,H78*Parameters!$D$12)</f>
        <v>978.75</v>
      </c>
      <c r="J79" s="37">
        <f>D79*Parameters!$D$20</f>
        <v>558</v>
      </c>
      <c r="K79" s="37">
        <f>IF(D79&lt;=100,Parameters!$B$6,IF(D79&lt;=500,Parameters!$B$7,IF(D79&lt;=2000,Parameters!$B$8,IF(D79&lt;=10000,Parameters!$B$9,Parameters!$B$10))))</f>
        <v>1000</v>
      </c>
      <c r="L79" s="37">
        <f t="shared" si="16"/>
        <v>2536.75</v>
      </c>
      <c r="M79" s="37">
        <f t="shared" si="17"/>
        <v>2139</v>
      </c>
      <c r="N79" s="37">
        <f t="shared" si="18"/>
        <v>160.25</v>
      </c>
      <c r="O79" s="37">
        <f t="shared" si="23"/>
        <v>-4664.75</v>
      </c>
      <c r="P79" s="38">
        <f t="shared" si="19"/>
        <v>0.7931034482758621</v>
      </c>
      <c r="Q79" s="38">
        <f t="shared" si="20"/>
        <v>5.9417871709306638E-2</v>
      </c>
      <c r="R79" s="39">
        <f>Parameters!$D$22</f>
        <v>29</v>
      </c>
      <c r="S79" s="39">
        <f>Parameters!$D$20</f>
        <v>6</v>
      </c>
      <c r="T79" s="39">
        <f>Parameters!$D$14</f>
        <v>55</v>
      </c>
      <c r="U79" s="37">
        <f>IF(Parameters!$D$17&lt;&gt;0,(Parameters!$D$22-Parameters!$D$20)/Parameters!$D$17,0)</f>
        <v>575</v>
      </c>
      <c r="V79" s="40">
        <f>IF((Parameters!$D$22-Parameters!$D$20)&gt;0,Parameters!$D$14/(Parameters!$D$22-Parameters!$D$20),999)</f>
        <v>2.3913043478260869</v>
      </c>
      <c r="W79" s="41">
        <f>IF(Parameters!$D$14&lt;&gt;0,IF(Parameters!$D$17&lt;&gt;0,(Parameters!$D$22-Parameters!$D$20)/(Parameters!$D$17*Parameters!$D$14),0),0)</f>
        <v>10.454545454545453</v>
      </c>
      <c r="X79" s="42">
        <f t="shared" si="21"/>
        <v>0</v>
      </c>
    </row>
    <row r="80" spans="1:24" ht="15" customHeight="1" x14ac:dyDescent="0.3">
      <c r="A80" s="34">
        <v>7</v>
      </c>
      <c r="B80" s="35" t="s">
        <v>75</v>
      </c>
      <c r="C80" s="35" t="s">
        <v>4</v>
      </c>
      <c r="D80" s="36">
        <f t="shared" si="22"/>
        <v>115</v>
      </c>
      <c r="E80" s="36">
        <f>ROUND(I80/Parameters!$D$14,0)</f>
        <v>22</v>
      </c>
      <c r="F80" s="36">
        <f>ROUND(D79*Parameters!$D$16,0)</f>
        <v>4</v>
      </c>
      <c r="G80" s="36">
        <f>ROUND(D79*Parameters!$D$17,0)</f>
        <v>4</v>
      </c>
      <c r="H80" s="37">
        <f>D80*Parameters!$D$22</f>
        <v>3335</v>
      </c>
      <c r="I80" s="37">
        <f>MAX(Parameters!$D$13,H79*Parameters!$D$12)</f>
        <v>1213.6500000000001</v>
      </c>
      <c r="J80" s="37">
        <f>D80*Parameters!$D$20</f>
        <v>690</v>
      </c>
      <c r="K80" s="37">
        <f>IF(D80&lt;=100,Parameters!$B$6,IF(D80&lt;=500,Parameters!$B$7,IF(D80&lt;=2000,Parameters!$B$8,IF(D80&lt;=10000,Parameters!$B$9,Parameters!$B$10))))</f>
        <v>2000</v>
      </c>
      <c r="L80" s="37">
        <f t="shared" si="16"/>
        <v>3903.65</v>
      </c>
      <c r="M80" s="37">
        <f t="shared" si="17"/>
        <v>2645</v>
      </c>
      <c r="N80" s="37">
        <f t="shared" si="18"/>
        <v>-568.65000000000009</v>
      </c>
      <c r="O80" s="37">
        <f t="shared" si="23"/>
        <v>-5233.3999999999996</v>
      </c>
      <c r="P80" s="38">
        <f t="shared" si="19"/>
        <v>0.7931034482758621</v>
      </c>
      <c r="Q80" s="38">
        <f t="shared" si="20"/>
        <v>-0.1705097451274363</v>
      </c>
      <c r="R80" s="39">
        <f>Parameters!$D$22</f>
        <v>29</v>
      </c>
      <c r="S80" s="39">
        <f>Parameters!$D$20</f>
        <v>6</v>
      </c>
      <c r="T80" s="39">
        <f>Parameters!$D$14</f>
        <v>55</v>
      </c>
      <c r="U80" s="37">
        <f>IF(Parameters!$D$17&lt;&gt;0,(Parameters!$D$22-Parameters!$D$20)/Parameters!$D$17,0)</f>
        <v>575</v>
      </c>
      <c r="V80" s="40">
        <f>IF((Parameters!$D$22-Parameters!$D$20)&gt;0,Parameters!$D$14/(Parameters!$D$22-Parameters!$D$20),999)</f>
        <v>2.3913043478260869</v>
      </c>
      <c r="W80" s="41">
        <f>IF(Parameters!$D$14&lt;&gt;0,IF(Parameters!$D$17&lt;&gt;0,(Parameters!$D$22-Parameters!$D$20)/(Parameters!$D$17*Parameters!$D$14),0),0)</f>
        <v>10.454545454545453</v>
      </c>
      <c r="X80" s="42">
        <f t="shared" si="21"/>
        <v>0</v>
      </c>
    </row>
    <row r="81" spans="1:24" ht="15" customHeight="1" x14ac:dyDescent="0.3">
      <c r="A81" s="34">
        <v>8</v>
      </c>
      <c r="B81" s="35" t="s">
        <v>76</v>
      </c>
      <c r="C81" s="35" t="s">
        <v>4</v>
      </c>
      <c r="D81" s="36">
        <f t="shared" si="22"/>
        <v>142</v>
      </c>
      <c r="E81" s="36">
        <f>ROUND(I81/Parameters!$D$14,0)</f>
        <v>27</v>
      </c>
      <c r="F81" s="36">
        <f>ROUND(D80*Parameters!$D$16,0)</f>
        <v>5</v>
      </c>
      <c r="G81" s="36">
        <f>ROUND(D80*Parameters!$D$17,0)</f>
        <v>5</v>
      </c>
      <c r="H81" s="37">
        <f>D81*Parameters!$D$22</f>
        <v>4118</v>
      </c>
      <c r="I81" s="37">
        <f>MAX(Parameters!$D$13,H80*Parameters!$D$12)</f>
        <v>1500.75</v>
      </c>
      <c r="J81" s="37">
        <f>D81*Parameters!$D$20</f>
        <v>852</v>
      </c>
      <c r="K81" s="37">
        <f>IF(D81&lt;=100,Parameters!$B$6,IF(D81&lt;=500,Parameters!$B$7,IF(D81&lt;=2000,Parameters!$B$8,IF(D81&lt;=10000,Parameters!$B$9,Parameters!$B$10))))</f>
        <v>2000</v>
      </c>
      <c r="L81" s="37">
        <f t="shared" si="16"/>
        <v>4352.75</v>
      </c>
      <c r="M81" s="37">
        <f t="shared" si="17"/>
        <v>3266</v>
      </c>
      <c r="N81" s="37">
        <f t="shared" si="18"/>
        <v>-234.75</v>
      </c>
      <c r="O81" s="37">
        <f t="shared" si="23"/>
        <v>-5468.15</v>
      </c>
      <c r="P81" s="38">
        <f t="shared" si="19"/>
        <v>0.7931034482758621</v>
      </c>
      <c r="Q81" s="38">
        <f t="shared" si="20"/>
        <v>-5.7005828071879552E-2</v>
      </c>
      <c r="R81" s="39">
        <f>Parameters!$D$22</f>
        <v>29</v>
      </c>
      <c r="S81" s="39">
        <f>Parameters!$D$20</f>
        <v>6</v>
      </c>
      <c r="T81" s="39">
        <f>Parameters!$D$14</f>
        <v>55</v>
      </c>
      <c r="U81" s="37">
        <f>IF(Parameters!$D$17&lt;&gt;0,(Parameters!$D$22-Parameters!$D$20)/Parameters!$D$17,0)</f>
        <v>575</v>
      </c>
      <c r="V81" s="40">
        <f>IF((Parameters!$D$22-Parameters!$D$20)&gt;0,Parameters!$D$14/(Parameters!$D$22-Parameters!$D$20),999)</f>
        <v>2.3913043478260869</v>
      </c>
      <c r="W81" s="41">
        <f>IF(Parameters!$D$14&lt;&gt;0,IF(Parameters!$D$17&lt;&gt;0,(Parameters!$D$22-Parameters!$D$20)/(Parameters!$D$17*Parameters!$D$14),0),0)</f>
        <v>10.454545454545453</v>
      </c>
      <c r="X81" s="42">
        <f t="shared" si="21"/>
        <v>0</v>
      </c>
    </row>
    <row r="82" spans="1:24" ht="15" customHeight="1" x14ac:dyDescent="0.3">
      <c r="A82" s="34">
        <v>9</v>
      </c>
      <c r="B82" s="35" t="s">
        <v>77</v>
      </c>
      <c r="C82" s="35" t="s">
        <v>4</v>
      </c>
      <c r="D82" s="36">
        <f t="shared" si="22"/>
        <v>176</v>
      </c>
      <c r="E82" s="36">
        <f>ROUND(I82/Parameters!$D$14,0)</f>
        <v>34</v>
      </c>
      <c r="F82" s="36">
        <f>ROUND(D81*Parameters!$D$16,0)</f>
        <v>6</v>
      </c>
      <c r="G82" s="36">
        <f>ROUND(D81*Parameters!$D$17,0)</f>
        <v>6</v>
      </c>
      <c r="H82" s="37">
        <f>D82*Parameters!$D$22</f>
        <v>5104</v>
      </c>
      <c r="I82" s="37">
        <f>MAX(Parameters!$D$13,H81*Parameters!$D$12)</f>
        <v>1853.1000000000001</v>
      </c>
      <c r="J82" s="37">
        <f>D82*Parameters!$D$20</f>
        <v>1056</v>
      </c>
      <c r="K82" s="37">
        <f>IF(D82&lt;=100,Parameters!$B$6,IF(D82&lt;=500,Parameters!$B$7,IF(D82&lt;=2000,Parameters!$B$8,IF(D82&lt;=10000,Parameters!$B$9,Parameters!$B$10))))</f>
        <v>2000</v>
      </c>
      <c r="L82" s="37">
        <f t="shared" si="16"/>
        <v>4909.1000000000004</v>
      </c>
      <c r="M82" s="37">
        <f t="shared" si="17"/>
        <v>4048</v>
      </c>
      <c r="N82" s="37">
        <f t="shared" si="18"/>
        <v>194.89999999999964</v>
      </c>
      <c r="O82" s="37">
        <f t="shared" si="23"/>
        <v>-5273.25</v>
      </c>
      <c r="P82" s="38">
        <f t="shared" si="19"/>
        <v>0.7931034482758621</v>
      </c>
      <c r="Q82" s="38">
        <f t="shared" si="20"/>
        <v>3.8185736677115917E-2</v>
      </c>
      <c r="R82" s="39">
        <f>Parameters!$D$22</f>
        <v>29</v>
      </c>
      <c r="S82" s="39">
        <f>Parameters!$D$20</f>
        <v>6</v>
      </c>
      <c r="T82" s="39">
        <f>Parameters!$D$14</f>
        <v>55</v>
      </c>
      <c r="U82" s="37">
        <f>IF(Parameters!$D$17&lt;&gt;0,(Parameters!$D$22-Parameters!$D$20)/Parameters!$D$17,0)</f>
        <v>575</v>
      </c>
      <c r="V82" s="40">
        <f>IF((Parameters!$D$22-Parameters!$D$20)&gt;0,Parameters!$D$14/(Parameters!$D$22-Parameters!$D$20),999)</f>
        <v>2.3913043478260869</v>
      </c>
      <c r="W82" s="41">
        <f>IF(Parameters!$D$14&lt;&gt;0,IF(Parameters!$D$17&lt;&gt;0,(Parameters!$D$22-Parameters!$D$20)/(Parameters!$D$17*Parameters!$D$14),0),0)</f>
        <v>10.454545454545453</v>
      </c>
      <c r="X82" s="42">
        <f t="shared" si="21"/>
        <v>0</v>
      </c>
    </row>
    <row r="83" spans="1:24" ht="15" customHeight="1" x14ac:dyDescent="0.3">
      <c r="A83" s="34">
        <v>10</v>
      </c>
      <c r="B83" s="35" t="s">
        <v>78</v>
      </c>
      <c r="C83" s="35" t="s">
        <v>4</v>
      </c>
      <c r="D83" s="36">
        <f t="shared" si="22"/>
        <v>218</v>
      </c>
      <c r="E83" s="36">
        <f>ROUND(I83/Parameters!$D$14,0)</f>
        <v>42</v>
      </c>
      <c r="F83" s="36">
        <f>ROUND(D82*Parameters!$D$16,0)</f>
        <v>7</v>
      </c>
      <c r="G83" s="36">
        <f>ROUND(D82*Parameters!$D$17,0)</f>
        <v>7</v>
      </c>
      <c r="H83" s="37">
        <f>D83*Parameters!$D$22</f>
        <v>6322</v>
      </c>
      <c r="I83" s="37">
        <f>MAX(Parameters!$D$13,H82*Parameters!$D$12)</f>
        <v>2296.8000000000002</v>
      </c>
      <c r="J83" s="37">
        <f>D83*Parameters!$D$20</f>
        <v>1308</v>
      </c>
      <c r="K83" s="37">
        <f>IF(D83&lt;=100,Parameters!$B$6,IF(D83&lt;=500,Parameters!$B$7,IF(D83&lt;=2000,Parameters!$B$8,IF(D83&lt;=10000,Parameters!$B$9,Parameters!$B$10))))</f>
        <v>2000</v>
      </c>
      <c r="L83" s="37">
        <f t="shared" si="16"/>
        <v>5604.8</v>
      </c>
      <c r="M83" s="37">
        <f t="shared" si="17"/>
        <v>5014</v>
      </c>
      <c r="N83" s="37">
        <f t="shared" si="18"/>
        <v>717.19999999999982</v>
      </c>
      <c r="O83" s="37">
        <f t="shared" si="23"/>
        <v>-4556.05</v>
      </c>
      <c r="P83" s="38">
        <f t="shared" si="19"/>
        <v>0.7931034482758621</v>
      </c>
      <c r="Q83" s="38">
        <f t="shared" si="20"/>
        <v>0.11344511230623218</v>
      </c>
      <c r="R83" s="39">
        <f>Parameters!$D$22</f>
        <v>29</v>
      </c>
      <c r="S83" s="39">
        <f>Parameters!$D$20</f>
        <v>6</v>
      </c>
      <c r="T83" s="39">
        <f>Parameters!$D$14</f>
        <v>55</v>
      </c>
      <c r="U83" s="37">
        <f>IF(Parameters!$D$17&lt;&gt;0,(Parameters!$D$22-Parameters!$D$20)/Parameters!$D$17,0)</f>
        <v>575</v>
      </c>
      <c r="V83" s="40">
        <f>IF((Parameters!$D$22-Parameters!$D$20)&gt;0,Parameters!$D$14/(Parameters!$D$22-Parameters!$D$20),999)</f>
        <v>2.3913043478260869</v>
      </c>
      <c r="W83" s="41">
        <f>IF(Parameters!$D$14&lt;&gt;0,IF(Parameters!$D$17&lt;&gt;0,(Parameters!$D$22-Parameters!$D$20)/(Parameters!$D$17*Parameters!$D$14),0),0)</f>
        <v>10.454545454545453</v>
      </c>
      <c r="X83" s="42">
        <f t="shared" si="21"/>
        <v>0</v>
      </c>
    </row>
    <row r="84" spans="1:24" ht="15" customHeight="1" x14ac:dyDescent="0.3">
      <c r="A84" s="34">
        <v>11</v>
      </c>
      <c r="B84" s="35" t="s">
        <v>79</v>
      </c>
      <c r="C84" s="35" t="s">
        <v>4</v>
      </c>
      <c r="D84" s="36">
        <f t="shared" si="22"/>
        <v>270</v>
      </c>
      <c r="E84" s="36">
        <f>ROUND(I84/Parameters!$D$14,0)</f>
        <v>52</v>
      </c>
      <c r="F84" s="36">
        <f>ROUND(D83*Parameters!$D$16,0)</f>
        <v>9</v>
      </c>
      <c r="G84" s="36">
        <f>ROUND(D83*Parameters!$D$17,0)</f>
        <v>9</v>
      </c>
      <c r="H84" s="37">
        <f>D84*Parameters!$D$22</f>
        <v>7830</v>
      </c>
      <c r="I84" s="37">
        <f>MAX(Parameters!$D$13,H83*Parameters!$D$12)</f>
        <v>2844.9</v>
      </c>
      <c r="J84" s="37">
        <f>D84*Parameters!$D$20</f>
        <v>1620</v>
      </c>
      <c r="K84" s="37">
        <f>IF(D84&lt;=100,Parameters!$B$6,IF(D84&lt;=500,Parameters!$B$7,IF(D84&lt;=2000,Parameters!$B$8,IF(D84&lt;=10000,Parameters!$B$9,Parameters!$B$10))))</f>
        <v>2000</v>
      </c>
      <c r="L84" s="37">
        <f t="shared" si="16"/>
        <v>6464.9</v>
      </c>
      <c r="M84" s="37">
        <f t="shared" si="17"/>
        <v>6210</v>
      </c>
      <c r="N84" s="37">
        <f t="shared" si="18"/>
        <v>1365.1000000000004</v>
      </c>
      <c r="O84" s="37">
        <f t="shared" si="23"/>
        <v>-3190.95</v>
      </c>
      <c r="P84" s="38">
        <f t="shared" si="19"/>
        <v>0.7931034482758621</v>
      </c>
      <c r="Q84" s="38">
        <f t="shared" si="20"/>
        <v>0.17434227330779059</v>
      </c>
      <c r="R84" s="39">
        <f>Parameters!$D$22</f>
        <v>29</v>
      </c>
      <c r="S84" s="39">
        <f>Parameters!$D$20</f>
        <v>6</v>
      </c>
      <c r="T84" s="39">
        <f>Parameters!$D$14</f>
        <v>55</v>
      </c>
      <c r="U84" s="37">
        <f>IF(Parameters!$D$17&lt;&gt;0,(Parameters!$D$22-Parameters!$D$20)/Parameters!$D$17,0)</f>
        <v>575</v>
      </c>
      <c r="V84" s="40">
        <f>IF((Parameters!$D$22-Parameters!$D$20)&gt;0,Parameters!$D$14/(Parameters!$D$22-Parameters!$D$20),999)</f>
        <v>2.3913043478260869</v>
      </c>
      <c r="W84" s="41">
        <f>IF(Parameters!$D$14&lt;&gt;0,IF(Parameters!$D$17&lt;&gt;0,(Parameters!$D$22-Parameters!$D$20)/(Parameters!$D$17*Parameters!$D$14),0),0)</f>
        <v>10.454545454545453</v>
      </c>
      <c r="X84" s="42">
        <f t="shared" si="21"/>
        <v>0</v>
      </c>
    </row>
    <row r="85" spans="1:24" ht="15" customHeight="1" x14ac:dyDescent="0.3">
      <c r="A85" s="34">
        <v>12</v>
      </c>
      <c r="B85" s="35" t="s">
        <v>80</v>
      </c>
      <c r="C85" s="35" t="s">
        <v>4</v>
      </c>
      <c r="D85" s="36">
        <f t="shared" si="22"/>
        <v>334</v>
      </c>
      <c r="E85" s="36">
        <f>ROUND(I85/Parameters!$D$14,0)</f>
        <v>64</v>
      </c>
      <c r="F85" s="36">
        <f>ROUND(D84*Parameters!$D$16,0)</f>
        <v>11</v>
      </c>
      <c r="G85" s="36">
        <f>ROUND(D84*Parameters!$D$17,0)</f>
        <v>11</v>
      </c>
      <c r="H85" s="37">
        <f>D85*Parameters!$D$22</f>
        <v>9686</v>
      </c>
      <c r="I85" s="37">
        <f>MAX(Parameters!$D$13,H84*Parameters!$D$12)</f>
        <v>3523.5</v>
      </c>
      <c r="J85" s="37">
        <f>D85*Parameters!$D$20</f>
        <v>2004</v>
      </c>
      <c r="K85" s="37">
        <f>IF(D85&lt;=100,Parameters!$B$6,IF(D85&lt;=500,Parameters!$B$7,IF(D85&lt;=2000,Parameters!$B$8,IF(D85&lt;=10000,Parameters!$B$9,Parameters!$B$10))))</f>
        <v>2000</v>
      </c>
      <c r="L85" s="37">
        <f t="shared" si="16"/>
        <v>7527.5</v>
      </c>
      <c r="M85" s="37">
        <f t="shared" si="17"/>
        <v>7682</v>
      </c>
      <c r="N85" s="37">
        <f t="shared" si="18"/>
        <v>2158.5</v>
      </c>
      <c r="O85" s="37">
        <f t="shared" si="23"/>
        <v>-1032.4499999999998</v>
      </c>
      <c r="P85" s="38">
        <f t="shared" si="19"/>
        <v>0.7931034482758621</v>
      </c>
      <c r="Q85" s="38">
        <f t="shared" si="20"/>
        <v>0.22284740863101382</v>
      </c>
      <c r="R85" s="39">
        <f>Parameters!$D$22</f>
        <v>29</v>
      </c>
      <c r="S85" s="39">
        <f>Parameters!$D$20</f>
        <v>6</v>
      </c>
      <c r="T85" s="39">
        <f>Parameters!$D$14</f>
        <v>55</v>
      </c>
      <c r="U85" s="37">
        <f>IF(Parameters!$D$17&lt;&gt;0,(Parameters!$D$22-Parameters!$D$20)/Parameters!$D$17,0)</f>
        <v>575</v>
      </c>
      <c r="V85" s="40">
        <f>IF((Parameters!$D$22-Parameters!$D$20)&gt;0,Parameters!$D$14/(Parameters!$D$22-Parameters!$D$20),999)</f>
        <v>2.3913043478260869</v>
      </c>
      <c r="W85" s="41">
        <f>IF(Parameters!$D$14&lt;&gt;0,IF(Parameters!$D$17&lt;&gt;0,(Parameters!$D$22-Parameters!$D$20)/(Parameters!$D$17*Parameters!$D$14),0),0)</f>
        <v>10.454545454545453</v>
      </c>
      <c r="X85" s="42">
        <f t="shared" si="21"/>
        <v>0</v>
      </c>
    </row>
    <row r="86" spans="1:24" ht="15" customHeight="1" x14ac:dyDescent="0.3">
      <c r="A86" s="34">
        <v>13</v>
      </c>
      <c r="B86" s="35" t="s">
        <v>81</v>
      </c>
      <c r="C86" s="35" t="s">
        <v>4</v>
      </c>
      <c r="D86" s="36">
        <f t="shared" si="22"/>
        <v>413</v>
      </c>
      <c r="E86" s="36">
        <f>ROUND(I86/Parameters!$D$14,0)</f>
        <v>79</v>
      </c>
      <c r="F86" s="36">
        <f>ROUND(D85*Parameters!$D$16,0)</f>
        <v>13</v>
      </c>
      <c r="G86" s="36">
        <f>ROUND(D85*Parameters!$D$17,0)</f>
        <v>13</v>
      </c>
      <c r="H86" s="37">
        <f>D86*Parameters!$D$22</f>
        <v>11977</v>
      </c>
      <c r="I86" s="37">
        <f>MAX(Parameters!$D$13,H85*Parameters!$D$12)</f>
        <v>4358.7</v>
      </c>
      <c r="J86" s="37">
        <f>D86*Parameters!$D$20</f>
        <v>2478</v>
      </c>
      <c r="K86" s="37">
        <f>IF(D86&lt;=100,Parameters!$B$6,IF(D86&lt;=500,Parameters!$B$7,IF(D86&lt;=2000,Parameters!$B$8,IF(D86&lt;=10000,Parameters!$B$9,Parameters!$B$10))))</f>
        <v>2000</v>
      </c>
      <c r="L86" s="37">
        <f t="shared" si="16"/>
        <v>8836.7000000000007</v>
      </c>
      <c r="M86" s="37">
        <f t="shared" si="17"/>
        <v>9499</v>
      </c>
      <c r="N86" s="37">
        <f t="shared" si="18"/>
        <v>3140.2999999999993</v>
      </c>
      <c r="O86" s="37">
        <f t="shared" si="23"/>
        <v>2107.8499999999995</v>
      </c>
      <c r="P86" s="38">
        <f t="shared" si="19"/>
        <v>0.7931034482758621</v>
      </c>
      <c r="Q86" s="38">
        <f t="shared" si="20"/>
        <v>0.26219420556065787</v>
      </c>
      <c r="R86" s="39">
        <f>Parameters!$D$22</f>
        <v>29</v>
      </c>
      <c r="S86" s="39">
        <f>Parameters!$D$20</f>
        <v>6</v>
      </c>
      <c r="T86" s="39">
        <f>Parameters!$D$14</f>
        <v>55</v>
      </c>
      <c r="U86" s="37">
        <f>IF(Parameters!$D$17&lt;&gt;0,(Parameters!$D$22-Parameters!$D$20)/Parameters!$D$17,0)</f>
        <v>575</v>
      </c>
      <c r="V86" s="40">
        <f>IF((Parameters!$D$22-Parameters!$D$20)&gt;0,Parameters!$D$14/(Parameters!$D$22-Parameters!$D$20),999)</f>
        <v>2.3913043478260869</v>
      </c>
      <c r="W86" s="41">
        <f>IF(Parameters!$D$14&lt;&gt;0,IF(Parameters!$D$17&lt;&gt;0,(Parameters!$D$22-Parameters!$D$20)/(Parameters!$D$17*Parameters!$D$14),0),0)</f>
        <v>10.454545454545453</v>
      </c>
      <c r="X86" s="42">
        <f t="shared" si="21"/>
        <v>1</v>
      </c>
    </row>
    <row r="87" spans="1:24" ht="15" customHeight="1" x14ac:dyDescent="0.3">
      <c r="A87" s="34">
        <v>14</v>
      </c>
      <c r="B87" s="35" t="s">
        <v>82</v>
      </c>
      <c r="C87" s="35" t="s">
        <v>4</v>
      </c>
      <c r="D87" s="36">
        <f t="shared" si="22"/>
        <v>511</v>
      </c>
      <c r="E87" s="36">
        <f>ROUND(I87/Parameters!$D$14,0)</f>
        <v>98</v>
      </c>
      <c r="F87" s="36">
        <f>ROUND(D86*Parameters!$D$16,0)</f>
        <v>17</v>
      </c>
      <c r="G87" s="36">
        <f>ROUND(D86*Parameters!$D$17,0)</f>
        <v>17</v>
      </c>
      <c r="H87" s="37">
        <f>D87*Parameters!$D$22</f>
        <v>14819</v>
      </c>
      <c r="I87" s="37">
        <f>MAX(Parameters!$D$13,H86*Parameters!$D$12)</f>
        <v>5389.6500000000005</v>
      </c>
      <c r="J87" s="37">
        <f>D87*Parameters!$D$20</f>
        <v>3066</v>
      </c>
      <c r="K87" s="37">
        <f>IF(D87&lt;=100,Parameters!$B$6,IF(D87&lt;=500,Parameters!$B$7,IF(D87&lt;=2000,Parameters!$B$8,IF(D87&lt;=10000,Parameters!$B$9,Parameters!$B$10))))</f>
        <v>4000</v>
      </c>
      <c r="L87" s="37">
        <f t="shared" si="16"/>
        <v>12455.650000000001</v>
      </c>
      <c r="M87" s="37">
        <f t="shared" si="17"/>
        <v>11753</v>
      </c>
      <c r="N87" s="37">
        <f t="shared" si="18"/>
        <v>2363.3499999999985</v>
      </c>
      <c r="O87" s="37">
        <f t="shared" si="23"/>
        <v>4471.199999999998</v>
      </c>
      <c r="P87" s="38">
        <f t="shared" si="19"/>
        <v>0.7931034482758621</v>
      </c>
      <c r="Q87" s="38">
        <f t="shared" si="20"/>
        <v>0.15948107159727368</v>
      </c>
      <c r="R87" s="39">
        <f>Parameters!$D$22</f>
        <v>29</v>
      </c>
      <c r="S87" s="39">
        <f>Parameters!$D$20</f>
        <v>6</v>
      </c>
      <c r="T87" s="39">
        <f>Parameters!$D$14</f>
        <v>55</v>
      </c>
      <c r="U87" s="37">
        <f>IF(Parameters!$D$17&lt;&gt;0,(Parameters!$D$22-Parameters!$D$20)/Parameters!$D$17,0)</f>
        <v>575</v>
      </c>
      <c r="V87" s="40">
        <f>IF((Parameters!$D$22-Parameters!$D$20)&gt;0,Parameters!$D$14/(Parameters!$D$22-Parameters!$D$20),999)</f>
        <v>2.3913043478260869</v>
      </c>
      <c r="W87" s="41">
        <f>IF(Parameters!$D$14&lt;&gt;0,IF(Parameters!$D$17&lt;&gt;0,(Parameters!$D$22-Parameters!$D$20)/(Parameters!$D$17*Parameters!$D$14),0),0)</f>
        <v>10.454545454545453</v>
      </c>
      <c r="X87" s="42">
        <f t="shared" si="21"/>
        <v>1</v>
      </c>
    </row>
    <row r="88" spans="1:24" ht="15" customHeight="1" x14ac:dyDescent="0.3">
      <c r="A88" s="34">
        <v>15</v>
      </c>
      <c r="B88" s="35" t="s">
        <v>83</v>
      </c>
      <c r="C88" s="35" t="s">
        <v>4</v>
      </c>
      <c r="D88" s="36">
        <f t="shared" si="22"/>
        <v>632</v>
      </c>
      <c r="E88" s="36">
        <f>ROUND(I88/Parameters!$D$14,0)</f>
        <v>121</v>
      </c>
      <c r="F88" s="36">
        <f>ROUND(D87*Parameters!$D$16,0)</f>
        <v>20</v>
      </c>
      <c r="G88" s="36">
        <f>ROUND(D87*Parameters!$D$17,0)</f>
        <v>20</v>
      </c>
      <c r="H88" s="37">
        <f>D88*Parameters!$D$22</f>
        <v>18328</v>
      </c>
      <c r="I88" s="37">
        <f>MAX(Parameters!$D$13,H87*Parameters!$D$12)</f>
        <v>6668.55</v>
      </c>
      <c r="J88" s="37">
        <f>D88*Parameters!$D$20</f>
        <v>3792</v>
      </c>
      <c r="K88" s="37">
        <f>IF(D88&lt;=100,Parameters!$B$6,IF(D88&lt;=500,Parameters!$B$7,IF(D88&lt;=2000,Parameters!$B$8,IF(D88&lt;=10000,Parameters!$B$9,Parameters!$B$10))))</f>
        <v>4000</v>
      </c>
      <c r="L88" s="37">
        <f t="shared" si="16"/>
        <v>14460.55</v>
      </c>
      <c r="M88" s="37">
        <f t="shared" si="17"/>
        <v>14536</v>
      </c>
      <c r="N88" s="37">
        <f t="shared" si="18"/>
        <v>3867.4500000000007</v>
      </c>
      <c r="O88" s="37">
        <f t="shared" si="23"/>
        <v>8338.6499999999978</v>
      </c>
      <c r="P88" s="38">
        <f t="shared" si="19"/>
        <v>0.7931034482758621</v>
      </c>
      <c r="Q88" s="38">
        <f t="shared" si="20"/>
        <v>0.21101320384111746</v>
      </c>
      <c r="R88" s="39">
        <f>Parameters!$D$22</f>
        <v>29</v>
      </c>
      <c r="S88" s="39">
        <f>Parameters!$D$20</f>
        <v>6</v>
      </c>
      <c r="T88" s="39">
        <f>Parameters!$D$14</f>
        <v>55</v>
      </c>
      <c r="U88" s="37">
        <f>IF(Parameters!$D$17&lt;&gt;0,(Parameters!$D$22-Parameters!$D$20)/Parameters!$D$17,0)</f>
        <v>575</v>
      </c>
      <c r="V88" s="40">
        <f>IF((Parameters!$D$22-Parameters!$D$20)&gt;0,Parameters!$D$14/(Parameters!$D$22-Parameters!$D$20),999)</f>
        <v>2.3913043478260869</v>
      </c>
      <c r="W88" s="41">
        <f>IF(Parameters!$D$14&lt;&gt;0,IF(Parameters!$D$17&lt;&gt;0,(Parameters!$D$22-Parameters!$D$20)/(Parameters!$D$17*Parameters!$D$14),0),0)</f>
        <v>10.454545454545453</v>
      </c>
      <c r="X88" s="42">
        <f t="shared" si="21"/>
        <v>1</v>
      </c>
    </row>
    <row r="89" spans="1:24" ht="15" customHeight="1" x14ac:dyDescent="0.3">
      <c r="A89" s="34">
        <v>16</v>
      </c>
      <c r="B89" s="35" t="s">
        <v>84</v>
      </c>
      <c r="C89" s="35" t="s">
        <v>4</v>
      </c>
      <c r="D89" s="36">
        <f t="shared" si="22"/>
        <v>782</v>
      </c>
      <c r="E89" s="36">
        <f>ROUND(I89/Parameters!$D$14,0)</f>
        <v>150</v>
      </c>
      <c r="F89" s="36">
        <f>ROUND(D88*Parameters!$D$16,0)</f>
        <v>25</v>
      </c>
      <c r="G89" s="36">
        <f>ROUND(D88*Parameters!$D$17,0)</f>
        <v>25</v>
      </c>
      <c r="H89" s="37">
        <f>D89*Parameters!$D$22</f>
        <v>22678</v>
      </c>
      <c r="I89" s="37">
        <f>MAX(Parameters!$D$13,H88*Parameters!$D$12)</f>
        <v>8247.6</v>
      </c>
      <c r="J89" s="37">
        <f>D89*Parameters!$D$20</f>
        <v>4692</v>
      </c>
      <c r="K89" s="37">
        <f>IF(D89&lt;=100,Parameters!$B$6,IF(D89&lt;=500,Parameters!$B$7,IF(D89&lt;=2000,Parameters!$B$8,IF(D89&lt;=10000,Parameters!$B$9,Parameters!$B$10))))</f>
        <v>4000</v>
      </c>
      <c r="L89" s="37">
        <f t="shared" si="16"/>
        <v>16939.599999999999</v>
      </c>
      <c r="M89" s="37">
        <f t="shared" si="17"/>
        <v>17986</v>
      </c>
      <c r="N89" s="37">
        <f t="shared" si="18"/>
        <v>5738.4000000000015</v>
      </c>
      <c r="O89" s="37">
        <f t="shared" si="23"/>
        <v>14077.05</v>
      </c>
      <c r="P89" s="38">
        <f t="shared" si="19"/>
        <v>0.7931034482758621</v>
      </c>
      <c r="Q89" s="38">
        <f t="shared" si="20"/>
        <v>0.25303818678895851</v>
      </c>
      <c r="R89" s="39">
        <f>Parameters!$D$22</f>
        <v>29</v>
      </c>
      <c r="S89" s="39">
        <f>Parameters!$D$20</f>
        <v>6</v>
      </c>
      <c r="T89" s="39">
        <f>Parameters!$D$14</f>
        <v>55</v>
      </c>
      <c r="U89" s="37">
        <f>IF(Parameters!$D$17&lt;&gt;0,(Parameters!$D$22-Parameters!$D$20)/Parameters!$D$17,0)</f>
        <v>575</v>
      </c>
      <c r="V89" s="40">
        <f>IF((Parameters!$D$22-Parameters!$D$20)&gt;0,Parameters!$D$14/(Parameters!$D$22-Parameters!$D$20),999)</f>
        <v>2.3913043478260869</v>
      </c>
      <c r="W89" s="41">
        <f>IF(Parameters!$D$14&lt;&gt;0,IF(Parameters!$D$17&lt;&gt;0,(Parameters!$D$22-Parameters!$D$20)/(Parameters!$D$17*Parameters!$D$14),0),0)</f>
        <v>10.454545454545453</v>
      </c>
      <c r="X89" s="42">
        <f t="shared" si="21"/>
        <v>1</v>
      </c>
    </row>
    <row r="90" spans="1:24" ht="15" customHeight="1" x14ac:dyDescent="0.3">
      <c r="A90" s="34">
        <v>17</v>
      </c>
      <c r="B90" s="35" t="s">
        <v>85</v>
      </c>
      <c r="C90" s="35" t="s">
        <v>4</v>
      </c>
      <c r="D90" s="36">
        <f t="shared" si="22"/>
        <v>968</v>
      </c>
      <c r="E90" s="36">
        <f>ROUND(I90/Parameters!$D$14,0)</f>
        <v>186</v>
      </c>
      <c r="F90" s="36">
        <f>ROUND(D89*Parameters!$D$16,0)</f>
        <v>31</v>
      </c>
      <c r="G90" s="36">
        <f>ROUND(D89*Parameters!$D$17,0)</f>
        <v>31</v>
      </c>
      <c r="H90" s="37">
        <f>D90*Parameters!$D$22</f>
        <v>28072</v>
      </c>
      <c r="I90" s="37">
        <f>MAX(Parameters!$D$13,H89*Parameters!$D$12)</f>
        <v>10205.1</v>
      </c>
      <c r="J90" s="37">
        <f>D90*Parameters!$D$20</f>
        <v>5808</v>
      </c>
      <c r="K90" s="37">
        <f>IF(D90&lt;=100,Parameters!$B$6,IF(D90&lt;=500,Parameters!$B$7,IF(D90&lt;=2000,Parameters!$B$8,IF(D90&lt;=10000,Parameters!$B$9,Parameters!$B$10))))</f>
        <v>4000</v>
      </c>
      <c r="L90" s="37">
        <f t="shared" si="16"/>
        <v>20013.099999999999</v>
      </c>
      <c r="M90" s="37">
        <f t="shared" si="17"/>
        <v>22264</v>
      </c>
      <c r="N90" s="37">
        <f t="shared" si="18"/>
        <v>8058.9000000000015</v>
      </c>
      <c r="O90" s="37">
        <f t="shared" si="23"/>
        <v>22135.95</v>
      </c>
      <c r="P90" s="38">
        <f t="shared" si="19"/>
        <v>0.7931034482758621</v>
      </c>
      <c r="Q90" s="38">
        <f t="shared" si="20"/>
        <v>0.28707965232259908</v>
      </c>
      <c r="R90" s="39">
        <f>Parameters!$D$22</f>
        <v>29</v>
      </c>
      <c r="S90" s="39">
        <f>Parameters!$D$20</f>
        <v>6</v>
      </c>
      <c r="T90" s="39">
        <f>Parameters!$D$14</f>
        <v>55</v>
      </c>
      <c r="U90" s="37">
        <f>IF(Parameters!$D$17&lt;&gt;0,(Parameters!$D$22-Parameters!$D$20)/Parameters!$D$17,0)</f>
        <v>575</v>
      </c>
      <c r="V90" s="40">
        <f>IF((Parameters!$D$22-Parameters!$D$20)&gt;0,Parameters!$D$14/(Parameters!$D$22-Parameters!$D$20),999)</f>
        <v>2.3913043478260869</v>
      </c>
      <c r="W90" s="41">
        <f>IF(Parameters!$D$14&lt;&gt;0,IF(Parameters!$D$17&lt;&gt;0,(Parameters!$D$22-Parameters!$D$20)/(Parameters!$D$17*Parameters!$D$14),0),0)</f>
        <v>10.454545454545453</v>
      </c>
      <c r="X90" s="42">
        <f t="shared" si="21"/>
        <v>1</v>
      </c>
    </row>
    <row r="91" spans="1:24" ht="15" customHeight="1" x14ac:dyDescent="0.3">
      <c r="A91" s="34">
        <v>18</v>
      </c>
      <c r="B91" s="35" t="s">
        <v>86</v>
      </c>
      <c r="C91" s="35" t="s">
        <v>4</v>
      </c>
      <c r="D91" s="36">
        <f t="shared" si="22"/>
        <v>1198</v>
      </c>
      <c r="E91" s="36">
        <f>ROUND(I91/Parameters!$D$14,0)</f>
        <v>230</v>
      </c>
      <c r="F91" s="36">
        <f>ROUND(D90*Parameters!$D$16,0)</f>
        <v>39</v>
      </c>
      <c r="G91" s="36">
        <f>ROUND(D90*Parameters!$D$17,0)</f>
        <v>39</v>
      </c>
      <c r="H91" s="37">
        <f>D91*Parameters!$D$22</f>
        <v>34742</v>
      </c>
      <c r="I91" s="37">
        <f>MAX(Parameters!$D$13,H90*Parameters!$D$12)</f>
        <v>12632.4</v>
      </c>
      <c r="J91" s="37">
        <f>D91*Parameters!$D$20</f>
        <v>7188</v>
      </c>
      <c r="K91" s="37">
        <f>IF(D91&lt;=100,Parameters!$B$6,IF(D91&lt;=500,Parameters!$B$7,IF(D91&lt;=2000,Parameters!$B$8,IF(D91&lt;=10000,Parameters!$B$9,Parameters!$B$10))))</f>
        <v>4000</v>
      </c>
      <c r="L91" s="37">
        <f t="shared" si="16"/>
        <v>23820.400000000001</v>
      </c>
      <c r="M91" s="37">
        <f t="shared" si="17"/>
        <v>27554</v>
      </c>
      <c r="N91" s="37">
        <f t="shared" si="18"/>
        <v>10921.599999999999</v>
      </c>
      <c r="O91" s="37">
        <f t="shared" si="23"/>
        <v>33057.550000000003</v>
      </c>
      <c r="P91" s="38">
        <f t="shared" si="19"/>
        <v>0.7931034482758621</v>
      </c>
      <c r="Q91" s="38">
        <f t="shared" si="20"/>
        <v>0.31436301882447754</v>
      </c>
      <c r="R91" s="39">
        <f>Parameters!$D$22</f>
        <v>29</v>
      </c>
      <c r="S91" s="39">
        <f>Parameters!$D$20</f>
        <v>6</v>
      </c>
      <c r="T91" s="39">
        <f>Parameters!$D$14</f>
        <v>55</v>
      </c>
      <c r="U91" s="37">
        <f>IF(Parameters!$D$17&lt;&gt;0,(Parameters!$D$22-Parameters!$D$20)/Parameters!$D$17,0)</f>
        <v>575</v>
      </c>
      <c r="V91" s="40">
        <f>IF((Parameters!$D$22-Parameters!$D$20)&gt;0,Parameters!$D$14/(Parameters!$D$22-Parameters!$D$20),999)</f>
        <v>2.3913043478260869</v>
      </c>
      <c r="W91" s="41">
        <f>IF(Parameters!$D$14&lt;&gt;0,IF(Parameters!$D$17&lt;&gt;0,(Parameters!$D$22-Parameters!$D$20)/(Parameters!$D$17*Parameters!$D$14),0),0)</f>
        <v>10.454545454545453</v>
      </c>
      <c r="X91" s="42">
        <f t="shared" si="21"/>
        <v>1</v>
      </c>
    </row>
    <row r="92" spans="1:24" ht="15" customHeight="1" x14ac:dyDescent="0.3">
      <c r="A92" s="34">
        <v>19</v>
      </c>
      <c r="B92" s="35" t="s">
        <v>87</v>
      </c>
      <c r="C92" s="35" t="s">
        <v>4</v>
      </c>
      <c r="D92" s="36">
        <f t="shared" si="22"/>
        <v>1482</v>
      </c>
      <c r="E92" s="36">
        <f>ROUND(I92/Parameters!$D$14,0)</f>
        <v>284</v>
      </c>
      <c r="F92" s="36">
        <f>ROUND(D91*Parameters!$D$16,0)</f>
        <v>48</v>
      </c>
      <c r="G92" s="36">
        <f>ROUND(D91*Parameters!$D$17,0)</f>
        <v>48</v>
      </c>
      <c r="H92" s="37">
        <f>D92*Parameters!$D$22</f>
        <v>42978</v>
      </c>
      <c r="I92" s="37">
        <f>MAX(Parameters!$D$13,H91*Parameters!$D$12)</f>
        <v>15633.9</v>
      </c>
      <c r="J92" s="37">
        <f>D92*Parameters!$D$20</f>
        <v>8892</v>
      </c>
      <c r="K92" s="37">
        <f>IF(D92&lt;=100,Parameters!$B$6,IF(D92&lt;=500,Parameters!$B$7,IF(D92&lt;=2000,Parameters!$B$8,IF(D92&lt;=10000,Parameters!$B$9,Parameters!$B$10))))</f>
        <v>4000</v>
      </c>
      <c r="L92" s="37">
        <f t="shared" si="16"/>
        <v>28525.9</v>
      </c>
      <c r="M92" s="37">
        <f t="shared" si="17"/>
        <v>34086</v>
      </c>
      <c r="N92" s="37">
        <f t="shared" si="18"/>
        <v>14452.099999999999</v>
      </c>
      <c r="O92" s="37">
        <f t="shared" si="23"/>
        <v>47509.65</v>
      </c>
      <c r="P92" s="38">
        <f t="shared" si="19"/>
        <v>0.7931034482758621</v>
      </c>
      <c r="Q92" s="38">
        <f t="shared" si="20"/>
        <v>0.33626739261947969</v>
      </c>
      <c r="R92" s="39">
        <f>Parameters!$D$22</f>
        <v>29</v>
      </c>
      <c r="S92" s="39">
        <f>Parameters!$D$20</f>
        <v>6</v>
      </c>
      <c r="T92" s="39">
        <f>Parameters!$D$14</f>
        <v>55</v>
      </c>
      <c r="U92" s="37">
        <f>IF(Parameters!$D$17&lt;&gt;0,(Parameters!$D$22-Parameters!$D$20)/Parameters!$D$17,0)</f>
        <v>575</v>
      </c>
      <c r="V92" s="40">
        <f>IF((Parameters!$D$22-Parameters!$D$20)&gt;0,Parameters!$D$14/(Parameters!$D$22-Parameters!$D$20),999)</f>
        <v>2.3913043478260869</v>
      </c>
      <c r="W92" s="41">
        <f>IF(Parameters!$D$14&lt;&gt;0,IF(Parameters!$D$17&lt;&gt;0,(Parameters!$D$22-Parameters!$D$20)/(Parameters!$D$17*Parameters!$D$14),0),0)</f>
        <v>10.454545454545453</v>
      </c>
      <c r="X92" s="42">
        <f t="shared" si="21"/>
        <v>1</v>
      </c>
    </row>
    <row r="93" spans="1:24" ht="15" customHeight="1" x14ac:dyDescent="0.3">
      <c r="A93" s="34">
        <v>20</v>
      </c>
      <c r="B93" s="35" t="s">
        <v>88</v>
      </c>
      <c r="C93" s="35" t="s">
        <v>4</v>
      </c>
      <c r="D93" s="36">
        <f t="shared" si="22"/>
        <v>1834</v>
      </c>
      <c r="E93" s="36">
        <f>ROUND(I93/Parameters!$D$14,0)</f>
        <v>352</v>
      </c>
      <c r="F93" s="36">
        <f>ROUND(D92*Parameters!$D$16,0)</f>
        <v>59</v>
      </c>
      <c r="G93" s="36">
        <f>ROUND(D92*Parameters!$D$17,0)</f>
        <v>59</v>
      </c>
      <c r="H93" s="37">
        <f>D93*Parameters!$D$22</f>
        <v>53186</v>
      </c>
      <c r="I93" s="37">
        <f>MAX(Parameters!$D$13,H92*Parameters!$D$12)</f>
        <v>19340.100000000002</v>
      </c>
      <c r="J93" s="37">
        <f>D93*Parameters!$D$20</f>
        <v>11004</v>
      </c>
      <c r="K93" s="37">
        <f>IF(D93&lt;=100,Parameters!$B$6,IF(D93&lt;=500,Parameters!$B$7,IF(D93&lt;=2000,Parameters!$B$8,IF(D93&lt;=10000,Parameters!$B$9,Parameters!$B$10))))</f>
        <v>4000</v>
      </c>
      <c r="L93" s="37">
        <f t="shared" si="16"/>
        <v>34344.100000000006</v>
      </c>
      <c r="M93" s="37">
        <f t="shared" si="17"/>
        <v>42182</v>
      </c>
      <c r="N93" s="37">
        <f t="shared" si="18"/>
        <v>18841.899999999994</v>
      </c>
      <c r="O93" s="37">
        <f t="shared" si="23"/>
        <v>66351.549999999988</v>
      </c>
      <c r="P93" s="38">
        <f t="shared" si="19"/>
        <v>0.7931034482758621</v>
      </c>
      <c r="Q93" s="38">
        <f t="shared" si="20"/>
        <v>0.35426428007370347</v>
      </c>
      <c r="R93" s="39">
        <f>Parameters!$D$22</f>
        <v>29</v>
      </c>
      <c r="S93" s="39">
        <f>Parameters!$D$20</f>
        <v>6</v>
      </c>
      <c r="T93" s="39">
        <f>Parameters!$D$14</f>
        <v>55</v>
      </c>
      <c r="U93" s="37">
        <f>IF(Parameters!$D$17&lt;&gt;0,(Parameters!$D$22-Parameters!$D$20)/Parameters!$D$17,0)</f>
        <v>575</v>
      </c>
      <c r="V93" s="40">
        <f>IF((Parameters!$D$22-Parameters!$D$20)&gt;0,Parameters!$D$14/(Parameters!$D$22-Parameters!$D$20),999)</f>
        <v>2.3913043478260869</v>
      </c>
      <c r="W93" s="41">
        <f>IF(Parameters!$D$14&lt;&gt;0,IF(Parameters!$D$17&lt;&gt;0,(Parameters!$D$22-Parameters!$D$20)/(Parameters!$D$17*Parameters!$D$14),0),0)</f>
        <v>10.454545454545453</v>
      </c>
      <c r="X93" s="42">
        <f t="shared" si="21"/>
        <v>1</v>
      </c>
    </row>
    <row r="94" spans="1:24" ht="15" customHeight="1" x14ac:dyDescent="0.3">
      <c r="A94" s="34">
        <v>21</v>
      </c>
      <c r="B94" s="35" t="s">
        <v>89</v>
      </c>
      <c r="C94" s="35" t="s">
        <v>4</v>
      </c>
      <c r="D94" s="36">
        <f t="shared" si="22"/>
        <v>2269</v>
      </c>
      <c r="E94" s="36">
        <f>ROUND(I94/Parameters!$D$14,0)</f>
        <v>435</v>
      </c>
      <c r="F94" s="36">
        <f>ROUND(D93*Parameters!$D$16,0)</f>
        <v>73</v>
      </c>
      <c r="G94" s="36">
        <f>ROUND(D93*Parameters!$D$17,0)</f>
        <v>73</v>
      </c>
      <c r="H94" s="37">
        <f>D94*Parameters!$D$22</f>
        <v>65801</v>
      </c>
      <c r="I94" s="37">
        <f>MAX(Parameters!$D$13,H93*Parameters!$D$12)</f>
        <v>23933.7</v>
      </c>
      <c r="J94" s="37">
        <f>D94*Parameters!$D$20</f>
        <v>13614</v>
      </c>
      <c r="K94" s="37">
        <f>IF(D94&lt;=100,Parameters!$B$6,IF(D94&lt;=500,Parameters!$B$7,IF(D94&lt;=2000,Parameters!$B$8,IF(D94&lt;=10000,Parameters!$B$9,Parameters!$B$10))))</f>
        <v>8000</v>
      </c>
      <c r="L94" s="37">
        <f t="shared" si="16"/>
        <v>45547.7</v>
      </c>
      <c r="M94" s="37">
        <f t="shared" si="17"/>
        <v>52187</v>
      </c>
      <c r="N94" s="37">
        <f t="shared" si="18"/>
        <v>20253.300000000003</v>
      </c>
      <c r="O94" s="37">
        <f t="shared" si="23"/>
        <v>86604.849999999991</v>
      </c>
      <c r="P94" s="38">
        <f t="shared" si="19"/>
        <v>0.7931034482758621</v>
      </c>
      <c r="Q94" s="38">
        <f t="shared" si="20"/>
        <v>0.30779623409978574</v>
      </c>
      <c r="R94" s="39">
        <f>Parameters!$D$22</f>
        <v>29</v>
      </c>
      <c r="S94" s="39">
        <f>Parameters!$D$20</f>
        <v>6</v>
      </c>
      <c r="T94" s="39">
        <f>Parameters!$D$14</f>
        <v>55</v>
      </c>
      <c r="U94" s="37">
        <f>IF(Parameters!$D$17&lt;&gt;0,(Parameters!$D$22-Parameters!$D$20)/Parameters!$D$17,0)</f>
        <v>575</v>
      </c>
      <c r="V94" s="40">
        <f>IF((Parameters!$D$22-Parameters!$D$20)&gt;0,Parameters!$D$14/(Parameters!$D$22-Parameters!$D$20),999)</f>
        <v>2.3913043478260869</v>
      </c>
      <c r="W94" s="41">
        <f>IF(Parameters!$D$14&lt;&gt;0,IF(Parameters!$D$17&lt;&gt;0,(Parameters!$D$22-Parameters!$D$20)/(Parameters!$D$17*Parameters!$D$14),0),0)</f>
        <v>10.454545454545453</v>
      </c>
      <c r="X94" s="42">
        <f t="shared" si="21"/>
        <v>1</v>
      </c>
    </row>
    <row r="95" spans="1:24" ht="15" customHeight="1" x14ac:dyDescent="0.3">
      <c r="A95" s="34">
        <v>22</v>
      </c>
      <c r="B95" s="35" t="s">
        <v>90</v>
      </c>
      <c r="C95" s="35" t="s">
        <v>4</v>
      </c>
      <c r="D95" s="36">
        <f t="shared" si="22"/>
        <v>2807</v>
      </c>
      <c r="E95" s="36">
        <f>ROUND(I95/Parameters!$D$14,0)</f>
        <v>538</v>
      </c>
      <c r="F95" s="36">
        <f>ROUND(D94*Parameters!$D$16,0)</f>
        <v>91</v>
      </c>
      <c r="G95" s="36">
        <f>ROUND(D94*Parameters!$D$17,0)</f>
        <v>91</v>
      </c>
      <c r="H95" s="37">
        <f>D95*Parameters!$D$22</f>
        <v>81403</v>
      </c>
      <c r="I95" s="37">
        <f>MAX(Parameters!$D$13,H94*Parameters!$D$12)</f>
        <v>29610.45</v>
      </c>
      <c r="J95" s="37">
        <f>D95*Parameters!$D$20</f>
        <v>16842</v>
      </c>
      <c r="K95" s="37">
        <f>IF(D95&lt;=100,Parameters!$B$6,IF(D95&lt;=500,Parameters!$B$7,IF(D95&lt;=2000,Parameters!$B$8,IF(D95&lt;=10000,Parameters!$B$9,Parameters!$B$10))))</f>
        <v>8000</v>
      </c>
      <c r="L95" s="37">
        <f t="shared" si="16"/>
        <v>54452.45</v>
      </c>
      <c r="M95" s="37">
        <f t="shared" si="17"/>
        <v>64561</v>
      </c>
      <c r="N95" s="37">
        <f t="shared" si="18"/>
        <v>26950.550000000003</v>
      </c>
      <c r="O95" s="37">
        <f t="shared" si="23"/>
        <v>113555.4</v>
      </c>
      <c r="P95" s="38">
        <f t="shared" si="19"/>
        <v>0.7931034482758621</v>
      </c>
      <c r="Q95" s="38">
        <f t="shared" si="20"/>
        <v>0.33107563603307005</v>
      </c>
      <c r="R95" s="39">
        <f>Parameters!$D$22</f>
        <v>29</v>
      </c>
      <c r="S95" s="39">
        <f>Parameters!$D$20</f>
        <v>6</v>
      </c>
      <c r="T95" s="39">
        <f>Parameters!$D$14</f>
        <v>55</v>
      </c>
      <c r="U95" s="37">
        <f>IF(Parameters!$D$17&lt;&gt;0,(Parameters!$D$22-Parameters!$D$20)/Parameters!$D$17,0)</f>
        <v>575</v>
      </c>
      <c r="V95" s="40">
        <f>IF((Parameters!$D$22-Parameters!$D$20)&gt;0,Parameters!$D$14/(Parameters!$D$22-Parameters!$D$20),999)</f>
        <v>2.3913043478260869</v>
      </c>
      <c r="W95" s="41">
        <f>IF(Parameters!$D$14&lt;&gt;0,IF(Parameters!$D$17&lt;&gt;0,(Parameters!$D$22-Parameters!$D$20)/(Parameters!$D$17*Parameters!$D$14),0),0)</f>
        <v>10.454545454545453</v>
      </c>
      <c r="X95" s="42">
        <f t="shared" si="21"/>
        <v>1</v>
      </c>
    </row>
    <row r="96" spans="1:24" ht="15" customHeight="1" x14ac:dyDescent="0.3">
      <c r="A96" s="34">
        <v>23</v>
      </c>
      <c r="B96" s="35" t="s">
        <v>91</v>
      </c>
      <c r="C96" s="35" t="s">
        <v>4</v>
      </c>
      <c r="D96" s="36">
        <f t="shared" si="22"/>
        <v>3473</v>
      </c>
      <c r="E96" s="36">
        <f>ROUND(I96/Parameters!$D$14,0)</f>
        <v>666</v>
      </c>
      <c r="F96" s="36">
        <f>ROUND(D95*Parameters!$D$16,0)</f>
        <v>112</v>
      </c>
      <c r="G96" s="36">
        <f>ROUND(D95*Parameters!$D$17,0)</f>
        <v>112</v>
      </c>
      <c r="H96" s="37">
        <f>D96*Parameters!$D$22</f>
        <v>100717</v>
      </c>
      <c r="I96" s="37">
        <f>MAX(Parameters!$D$13,H95*Parameters!$D$12)</f>
        <v>36631.35</v>
      </c>
      <c r="J96" s="37">
        <f>D96*Parameters!$D$20</f>
        <v>20838</v>
      </c>
      <c r="K96" s="37">
        <f>IF(D96&lt;=100,Parameters!$B$6,IF(D96&lt;=500,Parameters!$B$7,IF(D96&lt;=2000,Parameters!$B$8,IF(D96&lt;=10000,Parameters!$B$9,Parameters!$B$10))))</f>
        <v>8000</v>
      </c>
      <c r="L96" s="37">
        <f t="shared" si="16"/>
        <v>65469.35</v>
      </c>
      <c r="M96" s="37">
        <f t="shared" si="17"/>
        <v>79879</v>
      </c>
      <c r="N96" s="37">
        <f t="shared" si="18"/>
        <v>35247.65</v>
      </c>
      <c r="O96" s="37">
        <f t="shared" si="23"/>
        <v>148803.04999999999</v>
      </c>
      <c r="P96" s="38">
        <f t="shared" si="19"/>
        <v>0.7931034482758621</v>
      </c>
      <c r="Q96" s="38">
        <f t="shared" si="20"/>
        <v>0.34996723492558357</v>
      </c>
      <c r="R96" s="39">
        <f>Parameters!$D$22</f>
        <v>29</v>
      </c>
      <c r="S96" s="39">
        <f>Parameters!$D$20</f>
        <v>6</v>
      </c>
      <c r="T96" s="39">
        <f>Parameters!$D$14</f>
        <v>55</v>
      </c>
      <c r="U96" s="37">
        <f>IF(Parameters!$D$17&lt;&gt;0,(Parameters!$D$22-Parameters!$D$20)/Parameters!$D$17,0)</f>
        <v>575</v>
      </c>
      <c r="V96" s="40">
        <f>IF((Parameters!$D$22-Parameters!$D$20)&gt;0,Parameters!$D$14/(Parameters!$D$22-Parameters!$D$20),999)</f>
        <v>2.3913043478260869</v>
      </c>
      <c r="W96" s="41">
        <f>IF(Parameters!$D$14&lt;&gt;0,IF(Parameters!$D$17&lt;&gt;0,(Parameters!$D$22-Parameters!$D$20)/(Parameters!$D$17*Parameters!$D$14),0),0)</f>
        <v>10.454545454545453</v>
      </c>
      <c r="X96" s="42">
        <f t="shared" si="21"/>
        <v>1</v>
      </c>
    </row>
    <row r="97" spans="1:24" ht="15" customHeight="1" x14ac:dyDescent="0.3">
      <c r="A97" s="34">
        <v>24</v>
      </c>
      <c r="B97" s="35" t="s">
        <v>92</v>
      </c>
      <c r="C97" s="35" t="s">
        <v>4</v>
      </c>
      <c r="D97" s="36">
        <f t="shared" si="22"/>
        <v>4297</v>
      </c>
      <c r="E97" s="36">
        <f>ROUND(I97/Parameters!$D$14,0)</f>
        <v>824</v>
      </c>
      <c r="F97" s="36">
        <f>ROUND(D96*Parameters!$D$16,0)</f>
        <v>139</v>
      </c>
      <c r="G97" s="36">
        <f>ROUND(D96*Parameters!$D$17,0)</f>
        <v>139</v>
      </c>
      <c r="H97" s="37">
        <f>D97*Parameters!$D$22</f>
        <v>124613</v>
      </c>
      <c r="I97" s="37">
        <f>MAX(Parameters!$D$13,H96*Parameters!$D$12)</f>
        <v>45322.65</v>
      </c>
      <c r="J97" s="37">
        <f>D97*Parameters!$D$20</f>
        <v>25782</v>
      </c>
      <c r="K97" s="37">
        <f>IF(D97&lt;=100,Parameters!$B$6,IF(D97&lt;=500,Parameters!$B$7,IF(D97&lt;=2000,Parameters!$B$8,IF(D97&lt;=10000,Parameters!$B$9,Parameters!$B$10))))</f>
        <v>8000</v>
      </c>
      <c r="L97" s="37">
        <f t="shared" si="16"/>
        <v>79104.649999999994</v>
      </c>
      <c r="M97" s="37">
        <f t="shared" si="17"/>
        <v>98831</v>
      </c>
      <c r="N97" s="37">
        <f t="shared" si="18"/>
        <v>45508.350000000006</v>
      </c>
      <c r="O97" s="37">
        <f t="shared" si="23"/>
        <v>194311.4</v>
      </c>
      <c r="P97" s="38">
        <f t="shared" si="19"/>
        <v>0.7931034482758621</v>
      </c>
      <c r="Q97" s="38">
        <f t="shared" si="20"/>
        <v>0.36519745130925352</v>
      </c>
      <c r="R97" s="39">
        <f>Parameters!$D$22</f>
        <v>29</v>
      </c>
      <c r="S97" s="39">
        <f>Parameters!$D$20</f>
        <v>6</v>
      </c>
      <c r="T97" s="39">
        <f>Parameters!$D$14</f>
        <v>55</v>
      </c>
      <c r="U97" s="37">
        <f>IF(Parameters!$D$17&lt;&gt;0,(Parameters!$D$22-Parameters!$D$20)/Parameters!$D$17,0)</f>
        <v>575</v>
      </c>
      <c r="V97" s="40">
        <f>IF((Parameters!$D$22-Parameters!$D$20)&gt;0,Parameters!$D$14/(Parameters!$D$22-Parameters!$D$20),999)</f>
        <v>2.3913043478260869</v>
      </c>
      <c r="W97" s="41">
        <f>IF(Parameters!$D$14&lt;&gt;0,IF(Parameters!$D$17&lt;&gt;0,(Parameters!$D$22-Parameters!$D$20)/(Parameters!$D$17*Parameters!$D$14),0),0)</f>
        <v>10.454545454545453</v>
      </c>
      <c r="X97" s="42">
        <f t="shared" si="21"/>
        <v>1</v>
      </c>
    </row>
    <row r="98" spans="1:24" ht="15" customHeight="1" x14ac:dyDescent="0.3">
      <c r="A98" s="34">
        <v>25</v>
      </c>
      <c r="B98" s="35" t="s">
        <v>93</v>
      </c>
      <c r="C98" s="35" t="s">
        <v>4</v>
      </c>
      <c r="D98" s="36">
        <f t="shared" si="22"/>
        <v>5317</v>
      </c>
      <c r="E98" s="36">
        <f>ROUND(I98/Parameters!$D$14,0)</f>
        <v>1020</v>
      </c>
      <c r="F98" s="36">
        <f>ROUND(D97*Parameters!$D$16,0)</f>
        <v>172</v>
      </c>
      <c r="G98" s="36">
        <f>ROUND(D97*Parameters!$D$17,0)</f>
        <v>172</v>
      </c>
      <c r="H98" s="37">
        <f>D98*Parameters!$D$22</f>
        <v>154193</v>
      </c>
      <c r="I98" s="37">
        <f>MAX(Parameters!$D$13,H97*Parameters!$D$12)</f>
        <v>56075.85</v>
      </c>
      <c r="J98" s="37">
        <f>D98*Parameters!$D$20</f>
        <v>31902</v>
      </c>
      <c r="K98" s="37">
        <f>IF(D98&lt;=100,Parameters!$B$6,IF(D98&lt;=500,Parameters!$B$7,IF(D98&lt;=2000,Parameters!$B$8,IF(D98&lt;=10000,Parameters!$B$9,Parameters!$B$10))))</f>
        <v>8000</v>
      </c>
      <c r="L98" s="37">
        <f t="shared" ref="L98:L129" si="24">I98+J98+K98</f>
        <v>95977.85</v>
      </c>
      <c r="M98" s="37">
        <f t="shared" ref="M98:M109" si="25">H98-J98</f>
        <v>122291</v>
      </c>
      <c r="N98" s="37">
        <f t="shared" ref="N98:N109" si="26">H98-L98</f>
        <v>58215.149999999994</v>
      </c>
      <c r="O98" s="37">
        <f t="shared" si="23"/>
        <v>252526.55</v>
      </c>
      <c r="P98" s="38">
        <f t="shared" ref="P98:P109" si="27">IF(H98&lt;&gt;0,M98/H98,0)</f>
        <v>0.7931034482758621</v>
      </c>
      <c r="Q98" s="38">
        <f t="shared" ref="Q98:Q109" si="28">IF(H98&lt;&gt;0,N98/H98,0)</f>
        <v>0.37754729462426956</v>
      </c>
      <c r="R98" s="39">
        <f>Parameters!$D$22</f>
        <v>29</v>
      </c>
      <c r="S98" s="39">
        <f>Parameters!$D$20</f>
        <v>6</v>
      </c>
      <c r="T98" s="39">
        <f>Parameters!$D$14</f>
        <v>55</v>
      </c>
      <c r="U98" s="37">
        <f>IF(Parameters!$D$17&lt;&gt;0,(Parameters!$D$22-Parameters!$D$20)/Parameters!$D$17,0)</f>
        <v>575</v>
      </c>
      <c r="V98" s="40">
        <f>IF((Parameters!$D$22-Parameters!$D$20)&gt;0,Parameters!$D$14/(Parameters!$D$22-Parameters!$D$20),999)</f>
        <v>2.3913043478260869</v>
      </c>
      <c r="W98" s="41">
        <f>IF(Parameters!$D$14&lt;&gt;0,IF(Parameters!$D$17&lt;&gt;0,(Parameters!$D$22-Parameters!$D$20)/(Parameters!$D$17*Parameters!$D$14),0),0)</f>
        <v>10.454545454545453</v>
      </c>
      <c r="X98" s="42">
        <f t="shared" ref="X98:X109" si="29">IF(O98&gt;=0,1,0)</f>
        <v>1</v>
      </c>
    </row>
    <row r="99" spans="1:24" ht="15" customHeight="1" x14ac:dyDescent="0.3">
      <c r="A99" s="34">
        <v>26</v>
      </c>
      <c r="B99" s="35" t="s">
        <v>94</v>
      </c>
      <c r="C99" s="35" t="s">
        <v>4</v>
      </c>
      <c r="D99" s="36">
        <f t="shared" si="22"/>
        <v>6579</v>
      </c>
      <c r="E99" s="36">
        <f>ROUND(I99/Parameters!$D$14,0)</f>
        <v>1262</v>
      </c>
      <c r="F99" s="36">
        <f>ROUND(D98*Parameters!$D$16,0)</f>
        <v>213</v>
      </c>
      <c r="G99" s="36">
        <f>ROUND(D98*Parameters!$D$17,0)</f>
        <v>213</v>
      </c>
      <c r="H99" s="37">
        <f>D99*Parameters!$D$22</f>
        <v>190791</v>
      </c>
      <c r="I99" s="37">
        <f>MAX(Parameters!$D$13,H98*Parameters!$D$12)</f>
        <v>69386.850000000006</v>
      </c>
      <c r="J99" s="37">
        <f>D99*Parameters!$D$20</f>
        <v>39474</v>
      </c>
      <c r="K99" s="37">
        <f>IF(D99&lt;=100,Parameters!$B$6,IF(D99&lt;=500,Parameters!$B$7,IF(D99&lt;=2000,Parameters!$B$8,IF(D99&lt;=10000,Parameters!$B$9,Parameters!$B$10))))</f>
        <v>8000</v>
      </c>
      <c r="L99" s="37">
        <f t="shared" si="24"/>
        <v>116860.85</v>
      </c>
      <c r="M99" s="37">
        <f t="shared" si="25"/>
        <v>151317</v>
      </c>
      <c r="N99" s="37">
        <f t="shared" si="26"/>
        <v>73930.149999999994</v>
      </c>
      <c r="O99" s="37">
        <f t="shared" si="23"/>
        <v>326456.69999999995</v>
      </c>
      <c r="P99" s="38">
        <f t="shared" si="27"/>
        <v>0.7931034482758621</v>
      </c>
      <c r="Q99" s="38">
        <f t="shared" si="28"/>
        <v>0.38749285867782018</v>
      </c>
      <c r="R99" s="39">
        <f>Parameters!$D$22</f>
        <v>29</v>
      </c>
      <c r="S99" s="39">
        <f>Parameters!$D$20</f>
        <v>6</v>
      </c>
      <c r="T99" s="39">
        <f>Parameters!$D$14</f>
        <v>55</v>
      </c>
      <c r="U99" s="37">
        <f>IF(Parameters!$D$17&lt;&gt;0,(Parameters!$D$22-Parameters!$D$20)/Parameters!$D$17,0)</f>
        <v>575</v>
      </c>
      <c r="V99" s="40">
        <f>IF((Parameters!$D$22-Parameters!$D$20)&gt;0,Parameters!$D$14/(Parameters!$D$22-Parameters!$D$20),999)</f>
        <v>2.3913043478260869</v>
      </c>
      <c r="W99" s="41">
        <f>IF(Parameters!$D$14&lt;&gt;0,IF(Parameters!$D$17&lt;&gt;0,(Parameters!$D$22-Parameters!$D$20)/(Parameters!$D$17*Parameters!$D$14),0),0)</f>
        <v>10.454545454545453</v>
      </c>
      <c r="X99" s="42">
        <f t="shared" si="29"/>
        <v>1</v>
      </c>
    </row>
    <row r="100" spans="1:24" ht="15" customHeight="1" x14ac:dyDescent="0.3">
      <c r="A100" s="34">
        <v>27</v>
      </c>
      <c r="B100" s="35" t="s">
        <v>95</v>
      </c>
      <c r="C100" s="35" t="s">
        <v>4</v>
      </c>
      <c r="D100" s="36">
        <f t="shared" si="22"/>
        <v>8140</v>
      </c>
      <c r="E100" s="36">
        <f>ROUND(I100/Parameters!$D$14,0)</f>
        <v>1561</v>
      </c>
      <c r="F100" s="36">
        <f>ROUND(D99*Parameters!$D$16,0)</f>
        <v>263</v>
      </c>
      <c r="G100" s="36">
        <f>ROUND(D99*Parameters!$D$17,0)</f>
        <v>263</v>
      </c>
      <c r="H100" s="37">
        <f>D100*Parameters!$D$22</f>
        <v>236060</v>
      </c>
      <c r="I100" s="37">
        <f>MAX(Parameters!$D$13,H99*Parameters!$D$12)</f>
        <v>85855.95</v>
      </c>
      <c r="J100" s="37">
        <f>D100*Parameters!$D$20</f>
        <v>48840</v>
      </c>
      <c r="K100" s="37">
        <f>IF(D100&lt;=100,Parameters!$B$6,IF(D100&lt;=500,Parameters!$B$7,IF(D100&lt;=2000,Parameters!$B$8,IF(D100&lt;=10000,Parameters!$B$9,Parameters!$B$10))))</f>
        <v>8000</v>
      </c>
      <c r="L100" s="37">
        <f t="shared" si="24"/>
        <v>142695.95000000001</v>
      </c>
      <c r="M100" s="37">
        <f t="shared" si="25"/>
        <v>187220</v>
      </c>
      <c r="N100" s="37">
        <f t="shared" si="26"/>
        <v>93364.049999999988</v>
      </c>
      <c r="O100" s="37">
        <f t="shared" si="23"/>
        <v>419820.74999999994</v>
      </c>
      <c r="P100" s="38">
        <f t="shared" si="27"/>
        <v>0.7931034482758621</v>
      </c>
      <c r="Q100" s="38">
        <f t="shared" si="28"/>
        <v>0.39550982800982798</v>
      </c>
      <c r="R100" s="39">
        <f>Parameters!$D$22</f>
        <v>29</v>
      </c>
      <c r="S100" s="39">
        <f>Parameters!$D$20</f>
        <v>6</v>
      </c>
      <c r="T100" s="39">
        <f>Parameters!$D$14</f>
        <v>55</v>
      </c>
      <c r="U100" s="37">
        <f>IF(Parameters!$D$17&lt;&gt;0,(Parameters!$D$22-Parameters!$D$20)/Parameters!$D$17,0)</f>
        <v>575</v>
      </c>
      <c r="V100" s="40">
        <f>IF((Parameters!$D$22-Parameters!$D$20)&gt;0,Parameters!$D$14/(Parameters!$D$22-Parameters!$D$20),999)</f>
        <v>2.3913043478260869</v>
      </c>
      <c r="W100" s="41">
        <f>IF(Parameters!$D$14&lt;&gt;0,IF(Parameters!$D$17&lt;&gt;0,(Parameters!$D$22-Parameters!$D$20)/(Parameters!$D$17*Parameters!$D$14),0),0)</f>
        <v>10.454545454545453</v>
      </c>
      <c r="X100" s="42">
        <f t="shared" si="29"/>
        <v>1</v>
      </c>
    </row>
    <row r="101" spans="1:24" ht="15" customHeight="1" x14ac:dyDescent="0.3">
      <c r="A101" s="34">
        <v>28</v>
      </c>
      <c r="B101" s="35" t="s">
        <v>96</v>
      </c>
      <c r="C101" s="35" t="s">
        <v>4</v>
      </c>
      <c r="D101" s="36">
        <f t="shared" si="22"/>
        <v>10071</v>
      </c>
      <c r="E101" s="36">
        <f>ROUND(I101/Parameters!$D$14,0)</f>
        <v>1931</v>
      </c>
      <c r="F101" s="36">
        <f>ROUND(D100*Parameters!$D$16,0)</f>
        <v>326</v>
      </c>
      <c r="G101" s="36">
        <f>ROUND(D100*Parameters!$D$17,0)</f>
        <v>326</v>
      </c>
      <c r="H101" s="37">
        <f>D101*Parameters!$D$22</f>
        <v>292059</v>
      </c>
      <c r="I101" s="37">
        <f>MAX(Parameters!$D$13,H100*Parameters!$D$12)</f>
        <v>106227</v>
      </c>
      <c r="J101" s="37">
        <f>D101*Parameters!$D$20</f>
        <v>60426</v>
      </c>
      <c r="K101" s="37">
        <f>IF(D101&lt;=100,Parameters!$B$6,IF(D101&lt;=500,Parameters!$B$7,IF(D101&lt;=2000,Parameters!$B$8,IF(D101&lt;=10000,Parameters!$B$9,Parameters!$B$10))))</f>
        <v>15000</v>
      </c>
      <c r="L101" s="37">
        <f t="shared" si="24"/>
        <v>181653</v>
      </c>
      <c r="M101" s="37">
        <f t="shared" si="25"/>
        <v>231633</v>
      </c>
      <c r="N101" s="37">
        <f t="shared" si="26"/>
        <v>110406</v>
      </c>
      <c r="O101" s="37">
        <f t="shared" si="23"/>
        <v>530226.75</v>
      </c>
      <c r="P101" s="38">
        <f t="shared" si="27"/>
        <v>0.7931034482758621</v>
      </c>
      <c r="Q101" s="38">
        <f t="shared" si="28"/>
        <v>0.37802635768800141</v>
      </c>
      <c r="R101" s="39">
        <f>Parameters!$D$22</f>
        <v>29</v>
      </c>
      <c r="S101" s="39">
        <f>Parameters!$D$20</f>
        <v>6</v>
      </c>
      <c r="T101" s="39">
        <f>Parameters!$D$14</f>
        <v>55</v>
      </c>
      <c r="U101" s="37">
        <f>IF(Parameters!$D$17&lt;&gt;0,(Parameters!$D$22-Parameters!$D$20)/Parameters!$D$17,0)</f>
        <v>575</v>
      </c>
      <c r="V101" s="40">
        <f>IF((Parameters!$D$22-Parameters!$D$20)&gt;0,Parameters!$D$14/(Parameters!$D$22-Parameters!$D$20),999)</f>
        <v>2.3913043478260869</v>
      </c>
      <c r="W101" s="41">
        <f>IF(Parameters!$D$14&lt;&gt;0,IF(Parameters!$D$17&lt;&gt;0,(Parameters!$D$22-Parameters!$D$20)/(Parameters!$D$17*Parameters!$D$14),0),0)</f>
        <v>10.454545454545453</v>
      </c>
      <c r="X101" s="42">
        <f t="shared" si="29"/>
        <v>1</v>
      </c>
    </row>
    <row r="102" spans="1:24" ht="15" customHeight="1" x14ac:dyDescent="0.3">
      <c r="A102" s="34">
        <v>29</v>
      </c>
      <c r="B102" s="35" t="s">
        <v>97</v>
      </c>
      <c r="C102" s="35" t="s">
        <v>4</v>
      </c>
      <c r="D102" s="36">
        <f t="shared" si="22"/>
        <v>12461</v>
      </c>
      <c r="E102" s="36">
        <f>ROUND(I102/Parameters!$D$14,0)</f>
        <v>2390</v>
      </c>
      <c r="F102" s="36">
        <f>ROUND(D101*Parameters!$D$16,0)</f>
        <v>403</v>
      </c>
      <c r="G102" s="36">
        <f>ROUND(D101*Parameters!$D$17,0)</f>
        <v>403</v>
      </c>
      <c r="H102" s="37">
        <f>D102*Parameters!$D$22</f>
        <v>361369</v>
      </c>
      <c r="I102" s="37">
        <f>MAX(Parameters!$D$13,H101*Parameters!$D$12)</f>
        <v>131426.55000000002</v>
      </c>
      <c r="J102" s="37">
        <f>D102*Parameters!$D$20</f>
        <v>74766</v>
      </c>
      <c r="K102" s="37">
        <f>IF(D102&lt;=100,Parameters!$B$6,IF(D102&lt;=500,Parameters!$B$7,IF(D102&lt;=2000,Parameters!$B$8,IF(D102&lt;=10000,Parameters!$B$9,Parameters!$B$10))))</f>
        <v>15000</v>
      </c>
      <c r="L102" s="37">
        <f t="shared" si="24"/>
        <v>221192.55000000002</v>
      </c>
      <c r="M102" s="37">
        <f t="shared" si="25"/>
        <v>286603</v>
      </c>
      <c r="N102" s="37">
        <f t="shared" si="26"/>
        <v>140176.44999999998</v>
      </c>
      <c r="O102" s="37">
        <f t="shared" si="23"/>
        <v>670403.19999999995</v>
      </c>
      <c r="P102" s="38">
        <f t="shared" si="27"/>
        <v>0.7931034482758621</v>
      </c>
      <c r="Q102" s="38">
        <f t="shared" si="28"/>
        <v>0.38790391538842561</v>
      </c>
      <c r="R102" s="39">
        <f>Parameters!$D$22</f>
        <v>29</v>
      </c>
      <c r="S102" s="39">
        <f>Parameters!$D$20</f>
        <v>6</v>
      </c>
      <c r="T102" s="39">
        <f>Parameters!$D$14</f>
        <v>55</v>
      </c>
      <c r="U102" s="37">
        <f>IF(Parameters!$D$17&lt;&gt;0,(Parameters!$D$22-Parameters!$D$20)/Parameters!$D$17,0)</f>
        <v>575</v>
      </c>
      <c r="V102" s="40">
        <f>IF((Parameters!$D$22-Parameters!$D$20)&gt;0,Parameters!$D$14/(Parameters!$D$22-Parameters!$D$20),999)</f>
        <v>2.3913043478260869</v>
      </c>
      <c r="W102" s="41">
        <f>IF(Parameters!$D$14&lt;&gt;0,IF(Parameters!$D$17&lt;&gt;0,(Parameters!$D$22-Parameters!$D$20)/(Parameters!$D$17*Parameters!$D$14),0),0)</f>
        <v>10.454545454545453</v>
      </c>
      <c r="X102" s="42">
        <f t="shared" si="29"/>
        <v>1</v>
      </c>
    </row>
    <row r="103" spans="1:24" ht="15" customHeight="1" x14ac:dyDescent="0.3">
      <c r="A103" s="34">
        <v>30</v>
      </c>
      <c r="B103" s="35" t="s">
        <v>98</v>
      </c>
      <c r="C103" s="35" t="s">
        <v>4</v>
      </c>
      <c r="D103" s="36">
        <f t="shared" si="22"/>
        <v>15418</v>
      </c>
      <c r="E103" s="36">
        <f>ROUND(I103/Parameters!$D$14,0)</f>
        <v>2957</v>
      </c>
      <c r="F103" s="36">
        <f>ROUND(D102*Parameters!$D$16,0)</f>
        <v>498</v>
      </c>
      <c r="G103" s="36">
        <f>ROUND(D102*Parameters!$D$17,0)</f>
        <v>498</v>
      </c>
      <c r="H103" s="37">
        <f>D103*Parameters!$D$22</f>
        <v>447122</v>
      </c>
      <c r="I103" s="37">
        <f>MAX(Parameters!$D$13,H102*Parameters!$D$12)</f>
        <v>162616.05000000002</v>
      </c>
      <c r="J103" s="37">
        <f>D103*Parameters!$D$20</f>
        <v>92508</v>
      </c>
      <c r="K103" s="37">
        <f>IF(D103&lt;=100,Parameters!$B$6,IF(D103&lt;=500,Parameters!$B$7,IF(D103&lt;=2000,Parameters!$B$8,IF(D103&lt;=10000,Parameters!$B$9,Parameters!$B$10))))</f>
        <v>15000</v>
      </c>
      <c r="L103" s="37">
        <f t="shared" si="24"/>
        <v>270124.05000000005</v>
      </c>
      <c r="M103" s="37">
        <f t="shared" si="25"/>
        <v>354614</v>
      </c>
      <c r="N103" s="37">
        <f t="shared" si="26"/>
        <v>176997.94999999995</v>
      </c>
      <c r="O103" s="37">
        <f t="shared" si="23"/>
        <v>847401.14999999991</v>
      </c>
      <c r="P103" s="38">
        <f t="shared" si="27"/>
        <v>0.7931034482758621</v>
      </c>
      <c r="Q103" s="38">
        <f t="shared" si="28"/>
        <v>0.39586052576254344</v>
      </c>
      <c r="R103" s="39">
        <f>Parameters!$D$22</f>
        <v>29</v>
      </c>
      <c r="S103" s="39">
        <f>Parameters!$D$20</f>
        <v>6</v>
      </c>
      <c r="T103" s="39">
        <f>Parameters!$D$14</f>
        <v>55</v>
      </c>
      <c r="U103" s="37">
        <f>IF(Parameters!$D$17&lt;&gt;0,(Parameters!$D$22-Parameters!$D$20)/Parameters!$D$17,0)</f>
        <v>575</v>
      </c>
      <c r="V103" s="40">
        <f>IF((Parameters!$D$22-Parameters!$D$20)&gt;0,Parameters!$D$14/(Parameters!$D$22-Parameters!$D$20),999)</f>
        <v>2.3913043478260869</v>
      </c>
      <c r="W103" s="41">
        <f>IF(Parameters!$D$14&lt;&gt;0,IF(Parameters!$D$17&lt;&gt;0,(Parameters!$D$22-Parameters!$D$20)/(Parameters!$D$17*Parameters!$D$14),0),0)</f>
        <v>10.454545454545453</v>
      </c>
      <c r="X103" s="42">
        <f t="shared" si="29"/>
        <v>1</v>
      </c>
    </row>
    <row r="104" spans="1:24" ht="15" customHeight="1" x14ac:dyDescent="0.3">
      <c r="A104" s="34">
        <v>31</v>
      </c>
      <c r="B104" s="35" t="s">
        <v>99</v>
      </c>
      <c r="C104" s="35" t="s">
        <v>4</v>
      </c>
      <c r="D104" s="36">
        <f t="shared" si="22"/>
        <v>19076</v>
      </c>
      <c r="E104" s="36">
        <f>ROUND(I104/Parameters!$D$14,0)</f>
        <v>3658</v>
      </c>
      <c r="F104" s="36">
        <f>ROUND(D103*Parameters!$D$16,0)</f>
        <v>617</v>
      </c>
      <c r="G104" s="36">
        <f>ROUND(D103*Parameters!$D$17,0)</f>
        <v>617</v>
      </c>
      <c r="H104" s="37">
        <f>D104*Parameters!$D$22</f>
        <v>553204</v>
      </c>
      <c r="I104" s="37">
        <f>MAX(Parameters!$D$13,H103*Parameters!$D$12)</f>
        <v>201204.9</v>
      </c>
      <c r="J104" s="37">
        <f>D104*Parameters!$D$20</f>
        <v>114456</v>
      </c>
      <c r="K104" s="37">
        <f>IF(D104&lt;=100,Parameters!$B$6,IF(D104&lt;=500,Parameters!$B$7,IF(D104&lt;=2000,Parameters!$B$8,IF(D104&lt;=10000,Parameters!$B$9,Parameters!$B$10))))</f>
        <v>15000</v>
      </c>
      <c r="L104" s="37">
        <f t="shared" si="24"/>
        <v>330660.90000000002</v>
      </c>
      <c r="M104" s="37">
        <f t="shared" si="25"/>
        <v>438748</v>
      </c>
      <c r="N104" s="37">
        <f t="shared" si="26"/>
        <v>222543.09999999998</v>
      </c>
      <c r="O104" s="37">
        <f t="shared" si="23"/>
        <v>1069944.25</v>
      </c>
      <c r="P104" s="38">
        <f t="shared" si="27"/>
        <v>0.7931034482758621</v>
      </c>
      <c r="Q104" s="38">
        <f t="shared" si="28"/>
        <v>0.40228035227511005</v>
      </c>
      <c r="R104" s="39">
        <f>Parameters!$D$22</f>
        <v>29</v>
      </c>
      <c r="S104" s="39">
        <f>Parameters!$D$20</f>
        <v>6</v>
      </c>
      <c r="T104" s="39">
        <f>Parameters!$D$14</f>
        <v>55</v>
      </c>
      <c r="U104" s="37">
        <f>IF(Parameters!$D$17&lt;&gt;0,(Parameters!$D$22-Parameters!$D$20)/Parameters!$D$17,0)</f>
        <v>575</v>
      </c>
      <c r="V104" s="40">
        <f>IF((Parameters!$D$22-Parameters!$D$20)&gt;0,Parameters!$D$14/(Parameters!$D$22-Parameters!$D$20),999)</f>
        <v>2.3913043478260869</v>
      </c>
      <c r="W104" s="41">
        <f>IF(Parameters!$D$14&lt;&gt;0,IF(Parameters!$D$17&lt;&gt;0,(Parameters!$D$22-Parameters!$D$20)/(Parameters!$D$17*Parameters!$D$14),0),0)</f>
        <v>10.454545454545453</v>
      </c>
      <c r="X104" s="42">
        <f t="shared" si="29"/>
        <v>1</v>
      </c>
    </row>
    <row r="105" spans="1:24" ht="15" customHeight="1" x14ac:dyDescent="0.3">
      <c r="A105" s="34">
        <v>32</v>
      </c>
      <c r="B105" s="35" t="s">
        <v>100</v>
      </c>
      <c r="C105" s="35" t="s">
        <v>4</v>
      </c>
      <c r="D105" s="36">
        <f t="shared" si="22"/>
        <v>23602</v>
      </c>
      <c r="E105" s="36">
        <f>ROUND(I105/Parameters!$D$14,0)</f>
        <v>4526</v>
      </c>
      <c r="F105" s="36">
        <f>ROUND(D104*Parameters!$D$16,0)</f>
        <v>763</v>
      </c>
      <c r="G105" s="36">
        <f>ROUND(D104*Parameters!$D$17,0)</f>
        <v>763</v>
      </c>
      <c r="H105" s="37">
        <f>D105*Parameters!$D$22</f>
        <v>684458</v>
      </c>
      <c r="I105" s="37">
        <f>MAX(Parameters!$D$13,H104*Parameters!$D$12)</f>
        <v>248941.80000000002</v>
      </c>
      <c r="J105" s="37">
        <f>D105*Parameters!$D$20</f>
        <v>141612</v>
      </c>
      <c r="K105" s="37">
        <f>IF(D105&lt;=100,Parameters!$B$6,IF(D105&lt;=500,Parameters!$B$7,IF(D105&lt;=2000,Parameters!$B$8,IF(D105&lt;=10000,Parameters!$B$9,Parameters!$B$10))))</f>
        <v>15000</v>
      </c>
      <c r="L105" s="37">
        <f t="shared" si="24"/>
        <v>405553.80000000005</v>
      </c>
      <c r="M105" s="37">
        <f t="shared" si="25"/>
        <v>542846</v>
      </c>
      <c r="N105" s="37">
        <f t="shared" si="26"/>
        <v>278904.19999999995</v>
      </c>
      <c r="O105" s="37">
        <f t="shared" si="23"/>
        <v>1348848.45</v>
      </c>
      <c r="P105" s="38">
        <f t="shared" si="27"/>
        <v>0.7931034482758621</v>
      </c>
      <c r="Q105" s="38">
        <f t="shared" si="28"/>
        <v>0.40748183234033347</v>
      </c>
      <c r="R105" s="39">
        <f>Parameters!$D$22</f>
        <v>29</v>
      </c>
      <c r="S105" s="39">
        <f>Parameters!$D$20</f>
        <v>6</v>
      </c>
      <c r="T105" s="39">
        <f>Parameters!$D$14</f>
        <v>55</v>
      </c>
      <c r="U105" s="37">
        <f>IF(Parameters!$D$17&lt;&gt;0,(Parameters!$D$22-Parameters!$D$20)/Parameters!$D$17,0)</f>
        <v>575</v>
      </c>
      <c r="V105" s="40">
        <f>IF((Parameters!$D$22-Parameters!$D$20)&gt;0,Parameters!$D$14/(Parameters!$D$22-Parameters!$D$20),999)</f>
        <v>2.3913043478260869</v>
      </c>
      <c r="W105" s="41">
        <f>IF(Parameters!$D$14&lt;&gt;0,IF(Parameters!$D$17&lt;&gt;0,(Parameters!$D$22-Parameters!$D$20)/(Parameters!$D$17*Parameters!$D$14),0),0)</f>
        <v>10.454545454545453</v>
      </c>
      <c r="X105" s="42">
        <f t="shared" si="29"/>
        <v>1</v>
      </c>
    </row>
    <row r="106" spans="1:24" ht="15" customHeight="1" x14ac:dyDescent="0.3">
      <c r="A106" s="34">
        <v>33</v>
      </c>
      <c r="B106" s="35" t="s">
        <v>101</v>
      </c>
      <c r="C106" s="35" t="s">
        <v>4</v>
      </c>
      <c r="D106" s="36">
        <f t="shared" si="22"/>
        <v>29202</v>
      </c>
      <c r="E106" s="36">
        <f>ROUND(I106/Parameters!$D$14,0)</f>
        <v>5600</v>
      </c>
      <c r="F106" s="36">
        <f>ROUND(D105*Parameters!$D$16,0)</f>
        <v>944</v>
      </c>
      <c r="G106" s="36">
        <f>ROUND(D105*Parameters!$D$17,0)</f>
        <v>944</v>
      </c>
      <c r="H106" s="37">
        <f>D106*Parameters!$D$22</f>
        <v>846858</v>
      </c>
      <c r="I106" s="37">
        <f>MAX(Parameters!$D$13,H105*Parameters!$D$12)</f>
        <v>308006.10000000003</v>
      </c>
      <c r="J106" s="37">
        <f>D106*Parameters!$D$20</f>
        <v>175212</v>
      </c>
      <c r="K106" s="37">
        <f>IF(D106&lt;=100,Parameters!$B$6,IF(D106&lt;=500,Parameters!$B$7,IF(D106&lt;=2000,Parameters!$B$8,IF(D106&lt;=10000,Parameters!$B$9,Parameters!$B$10))))</f>
        <v>15000</v>
      </c>
      <c r="L106" s="37">
        <f t="shared" si="24"/>
        <v>498218.10000000003</v>
      </c>
      <c r="M106" s="37">
        <f t="shared" si="25"/>
        <v>671646</v>
      </c>
      <c r="N106" s="37">
        <f t="shared" si="26"/>
        <v>348639.89999999997</v>
      </c>
      <c r="O106" s="37">
        <f t="shared" si="23"/>
        <v>1697488.3499999999</v>
      </c>
      <c r="P106" s="38">
        <f t="shared" si="27"/>
        <v>0.7931034482758621</v>
      </c>
      <c r="Q106" s="38">
        <f t="shared" si="28"/>
        <v>0.4116863748113615</v>
      </c>
      <c r="R106" s="39">
        <f>Parameters!$D$22</f>
        <v>29</v>
      </c>
      <c r="S106" s="39">
        <f>Parameters!$D$20</f>
        <v>6</v>
      </c>
      <c r="T106" s="39">
        <f>Parameters!$D$14</f>
        <v>55</v>
      </c>
      <c r="U106" s="37">
        <f>IF(Parameters!$D$17&lt;&gt;0,(Parameters!$D$22-Parameters!$D$20)/Parameters!$D$17,0)</f>
        <v>575</v>
      </c>
      <c r="V106" s="40">
        <f>IF((Parameters!$D$22-Parameters!$D$20)&gt;0,Parameters!$D$14/(Parameters!$D$22-Parameters!$D$20),999)</f>
        <v>2.3913043478260869</v>
      </c>
      <c r="W106" s="41">
        <f>IF(Parameters!$D$14&lt;&gt;0,IF(Parameters!$D$17&lt;&gt;0,(Parameters!$D$22-Parameters!$D$20)/(Parameters!$D$17*Parameters!$D$14),0),0)</f>
        <v>10.454545454545453</v>
      </c>
      <c r="X106" s="42">
        <f t="shared" si="29"/>
        <v>1</v>
      </c>
    </row>
    <row r="107" spans="1:24" ht="15" customHeight="1" x14ac:dyDescent="0.3">
      <c r="A107" s="34">
        <v>34</v>
      </c>
      <c r="B107" s="35" t="s">
        <v>102</v>
      </c>
      <c r="C107" s="35" t="s">
        <v>4</v>
      </c>
      <c r="D107" s="36">
        <f t="shared" si="22"/>
        <v>36131</v>
      </c>
      <c r="E107" s="36">
        <f>ROUND(I107/Parameters!$D$14,0)</f>
        <v>6929</v>
      </c>
      <c r="F107" s="36">
        <f>ROUND(D106*Parameters!$D$16,0)</f>
        <v>1168</v>
      </c>
      <c r="G107" s="36">
        <f>ROUND(D106*Parameters!$D$17,0)</f>
        <v>1168</v>
      </c>
      <c r="H107" s="37">
        <f>D107*Parameters!$D$22</f>
        <v>1047799</v>
      </c>
      <c r="I107" s="37">
        <f>MAX(Parameters!$D$13,H106*Parameters!$D$12)</f>
        <v>381086.10000000003</v>
      </c>
      <c r="J107" s="37">
        <f>D107*Parameters!$D$20</f>
        <v>216786</v>
      </c>
      <c r="K107" s="37">
        <f>IF(D107&lt;=100,Parameters!$B$6,IF(D107&lt;=500,Parameters!$B$7,IF(D107&lt;=2000,Parameters!$B$8,IF(D107&lt;=10000,Parameters!$B$9,Parameters!$B$10))))</f>
        <v>15000</v>
      </c>
      <c r="L107" s="37">
        <f t="shared" si="24"/>
        <v>612872.10000000009</v>
      </c>
      <c r="M107" s="37">
        <f t="shared" si="25"/>
        <v>831013</v>
      </c>
      <c r="N107" s="37">
        <f t="shared" si="26"/>
        <v>434926.89999999991</v>
      </c>
      <c r="O107" s="37">
        <f t="shared" si="23"/>
        <v>2132415.25</v>
      </c>
      <c r="P107" s="38">
        <f t="shared" si="27"/>
        <v>0.7931034482758621</v>
      </c>
      <c r="Q107" s="38">
        <f t="shared" si="28"/>
        <v>0.41508619496678267</v>
      </c>
      <c r="R107" s="39">
        <f>Parameters!$D$22</f>
        <v>29</v>
      </c>
      <c r="S107" s="39">
        <f>Parameters!$D$20</f>
        <v>6</v>
      </c>
      <c r="T107" s="39">
        <f>Parameters!$D$14</f>
        <v>55</v>
      </c>
      <c r="U107" s="37">
        <f>IF(Parameters!$D$17&lt;&gt;0,(Parameters!$D$22-Parameters!$D$20)/Parameters!$D$17,0)</f>
        <v>575</v>
      </c>
      <c r="V107" s="40">
        <f>IF((Parameters!$D$22-Parameters!$D$20)&gt;0,Parameters!$D$14/(Parameters!$D$22-Parameters!$D$20),999)</f>
        <v>2.3913043478260869</v>
      </c>
      <c r="W107" s="41">
        <f>IF(Parameters!$D$14&lt;&gt;0,IF(Parameters!$D$17&lt;&gt;0,(Parameters!$D$22-Parameters!$D$20)/(Parameters!$D$17*Parameters!$D$14),0),0)</f>
        <v>10.454545454545453</v>
      </c>
      <c r="X107" s="42">
        <f t="shared" si="29"/>
        <v>1</v>
      </c>
    </row>
    <row r="108" spans="1:24" ht="15" customHeight="1" x14ac:dyDescent="0.3">
      <c r="A108" s="34">
        <v>35</v>
      </c>
      <c r="B108" s="35" t="s">
        <v>103</v>
      </c>
      <c r="C108" s="35" t="s">
        <v>4</v>
      </c>
      <c r="D108" s="36">
        <f t="shared" si="22"/>
        <v>44704</v>
      </c>
      <c r="E108" s="36">
        <f>ROUND(I108/Parameters!$D$14,0)</f>
        <v>8573</v>
      </c>
      <c r="F108" s="36">
        <f>ROUND(D107*Parameters!$D$16,0)</f>
        <v>1445</v>
      </c>
      <c r="G108" s="36">
        <f>ROUND(D107*Parameters!$D$17,0)</f>
        <v>1445</v>
      </c>
      <c r="H108" s="37">
        <f>D108*Parameters!$D$22</f>
        <v>1296416</v>
      </c>
      <c r="I108" s="37">
        <f>MAX(Parameters!$D$13,H107*Parameters!$D$12)</f>
        <v>471509.55</v>
      </c>
      <c r="J108" s="37">
        <f>D108*Parameters!$D$20</f>
        <v>268224</v>
      </c>
      <c r="K108" s="37">
        <f>IF(D108&lt;=100,Parameters!$B$6,IF(D108&lt;=500,Parameters!$B$7,IF(D108&lt;=2000,Parameters!$B$8,IF(D108&lt;=10000,Parameters!$B$9,Parameters!$B$10))))</f>
        <v>15000</v>
      </c>
      <c r="L108" s="37">
        <f t="shared" si="24"/>
        <v>754733.55</v>
      </c>
      <c r="M108" s="37">
        <f t="shared" si="25"/>
        <v>1028192</v>
      </c>
      <c r="N108" s="37">
        <f t="shared" si="26"/>
        <v>541682.44999999995</v>
      </c>
      <c r="O108" s="37">
        <f t="shared" si="23"/>
        <v>2674097.7000000002</v>
      </c>
      <c r="P108" s="38">
        <f t="shared" si="27"/>
        <v>0.7931034482758621</v>
      </c>
      <c r="Q108" s="38">
        <f t="shared" si="28"/>
        <v>0.41783073488756689</v>
      </c>
      <c r="R108" s="39">
        <f>Parameters!$D$22</f>
        <v>29</v>
      </c>
      <c r="S108" s="39">
        <f>Parameters!$D$20</f>
        <v>6</v>
      </c>
      <c r="T108" s="39">
        <f>Parameters!$D$14</f>
        <v>55</v>
      </c>
      <c r="U108" s="37">
        <f>IF(Parameters!$D$17&lt;&gt;0,(Parameters!$D$22-Parameters!$D$20)/Parameters!$D$17,0)</f>
        <v>575</v>
      </c>
      <c r="V108" s="40">
        <f>IF((Parameters!$D$22-Parameters!$D$20)&gt;0,Parameters!$D$14/(Parameters!$D$22-Parameters!$D$20),999)</f>
        <v>2.3913043478260869</v>
      </c>
      <c r="W108" s="41">
        <f>IF(Parameters!$D$14&lt;&gt;0,IF(Parameters!$D$17&lt;&gt;0,(Parameters!$D$22-Parameters!$D$20)/(Parameters!$D$17*Parameters!$D$14),0),0)</f>
        <v>10.454545454545453</v>
      </c>
      <c r="X108" s="42">
        <f t="shared" si="29"/>
        <v>1</v>
      </c>
    </row>
    <row r="109" spans="1:24" ht="15" customHeight="1" x14ac:dyDescent="0.3">
      <c r="A109" s="34">
        <v>36</v>
      </c>
      <c r="B109" s="35" t="s">
        <v>104</v>
      </c>
      <c r="C109" s="35" t="s">
        <v>4</v>
      </c>
      <c r="D109" s="36">
        <f t="shared" si="22"/>
        <v>55311</v>
      </c>
      <c r="E109" s="36">
        <f>ROUND(I109/Parameters!$D$14,0)</f>
        <v>10607</v>
      </c>
      <c r="F109" s="36">
        <f>ROUND(D108*Parameters!$D$16,0)</f>
        <v>1788</v>
      </c>
      <c r="G109" s="36">
        <f>ROUND(D108*Parameters!$D$17,0)</f>
        <v>1788</v>
      </c>
      <c r="H109" s="37">
        <f>D109*Parameters!$D$22</f>
        <v>1604019</v>
      </c>
      <c r="I109" s="37">
        <f>MAX(Parameters!$D$13,H108*Parameters!$D$12)</f>
        <v>583387.20000000007</v>
      </c>
      <c r="J109" s="37">
        <f>D109*Parameters!$D$20</f>
        <v>331866</v>
      </c>
      <c r="K109" s="37">
        <f>IF(D109&lt;=100,Parameters!$B$6,IF(D109&lt;=500,Parameters!$B$7,IF(D109&lt;=2000,Parameters!$B$8,IF(D109&lt;=10000,Parameters!$B$9,Parameters!$B$10))))</f>
        <v>15000</v>
      </c>
      <c r="L109" s="37">
        <f t="shared" si="24"/>
        <v>930253.20000000007</v>
      </c>
      <c r="M109" s="37">
        <f t="shared" si="25"/>
        <v>1272153</v>
      </c>
      <c r="N109" s="37">
        <f t="shared" si="26"/>
        <v>673765.79999999993</v>
      </c>
      <c r="O109" s="37">
        <f t="shared" si="23"/>
        <v>3347863.5</v>
      </c>
      <c r="P109" s="38">
        <f t="shared" si="27"/>
        <v>0.7931034482758621</v>
      </c>
      <c r="Q109" s="38">
        <f t="shared" si="28"/>
        <v>0.42004851563478984</v>
      </c>
      <c r="R109" s="39">
        <f>Parameters!$D$22</f>
        <v>29</v>
      </c>
      <c r="S109" s="39">
        <f>Parameters!$D$20</f>
        <v>6</v>
      </c>
      <c r="T109" s="39">
        <f>Parameters!$D$14</f>
        <v>55</v>
      </c>
      <c r="U109" s="37">
        <f>IF(Parameters!$D$17&lt;&gt;0,(Parameters!$D$22-Parameters!$D$20)/Parameters!$D$17,0)</f>
        <v>575</v>
      </c>
      <c r="V109" s="40">
        <f>IF((Parameters!$D$22-Parameters!$D$20)&gt;0,Parameters!$D$14/(Parameters!$D$22-Parameters!$D$20),999)</f>
        <v>2.3913043478260869</v>
      </c>
      <c r="W109" s="41">
        <f>IF(Parameters!$D$14&lt;&gt;0,IF(Parameters!$D$17&lt;&gt;0,(Parameters!$D$22-Parameters!$D$20)/(Parameters!$D$17*Parameters!$D$14),0),0)</f>
        <v>10.454545454545453</v>
      </c>
      <c r="X109" s="42">
        <f t="shared" si="29"/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showGridLines="0" zoomScaleNormal="100" workbookViewId="0">
      <selection activeCell="B4" sqref="B4"/>
    </sheetView>
  </sheetViews>
  <sheetFormatPr defaultColWidth="8.6640625" defaultRowHeight="14.4" x14ac:dyDescent="0.3"/>
  <cols>
    <col min="1" max="3" width="20" customWidth="1"/>
  </cols>
  <sheetData>
    <row r="1" spans="1:3" ht="15" customHeight="1" x14ac:dyDescent="0.3">
      <c r="A1" s="15" t="s">
        <v>105</v>
      </c>
      <c r="B1" s="15" t="s">
        <v>106</v>
      </c>
      <c r="C1" s="15" t="s">
        <v>107</v>
      </c>
    </row>
    <row r="2" spans="1:3" ht="15" customHeight="1" x14ac:dyDescent="0.3">
      <c r="A2" s="43" t="s">
        <v>108</v>
      </c>
      <c r="B2" s="43" t="s">
        <v>109</v>
      </c>
      <c r="C2" s="44" t="s">
        <v>11</v>
      </c>
    </row>
    <row r="3" spans="1:3" ht="15" customHeight="1" x14ac:dyDescent="0.3">
      <c r="A3" s="45" t="s">
        <v>110</v>
      </c>
      <c r="B3" s="45" t="s">
        <v>150</v>
      </c>
      <c r="C3" s="46" t="s">
        <v>111</v>
      </c>
    </row>
    <row r="4" spans="1:3" ht="15" customHeight="1" x14ac:dyDescent="0.3">
      <c r="A4" s="43" t="s">
        <v>112</v>
      </c>
      <c r="B4" s="43" t="s">
        <v>113</v>
      </c>
      <c r="C4" s="44" t="s">
        <v>114</v>
      </c>
    </row>
    <row r="5" spans="1:3" ht="15" customHeight="1" x14ac:dyDescent="0.3">
      <c r="A5" s="45" t="s">
        <v>115</v>
      </c>
      <c r="B5" s="45" t="s">
        <v>116</v>
      </c>
      <c r="C5" s="46" t="s">
        <v>117</v>
      </c>
    </row>
    <row r="6" spans="1:3" ht="15" customHeight="1" x14ac:dyDescent="0.3">
      <c r="A6" s="43" t="s">
        <v>118</v>
      </c>
      <c r="B6" s="43" t="s">
        <v>119</v>
      </c>
      <c r="C6" s="44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2" width="80" customWidth="1"/>
  </cols>
  <sheetData>
    <row r="1" spans="1:2" ht="15" customHeight="1" x14ac:dyDescent="0.3">
      <c r="A1" s="15" t="s">
        <v>120</v>
      </c>
      <c r="B1" s="47" t="s">
        <v>121</v>
      </c>
    </row>
    <row r="2" spans="1:2" ht="30" customHeight="1" x14ac:dyDescent="0.3">
      <c r="A2" s="8" t="s">
        <v>122</v>
      </c>
      <c r="B2" s="48" t="s">
        <v>123</v>
      </c>
    </row>
    <row r="3" spans="1:2" ht="33" customHeight="1" x14ac:dyDescent="0.3">
      <c r="A3" s="8" t="s">
        <v>124</v>
      </c>
      <c r="B3" s="49" t="s">
        <v>125</v>
      </c>
    </row>
    <row r="4" spans="1:2" ht="33" customHeight="1" x14ac:dyDescent="0.3">
      <c r="A4" s="8" t="s">
        <v>126</v>
      </c>
      <c r="B4" s="49" t="s">
        <v>127</v>
      </c>
    </row>
    <row r="5" spans="1:2" ht="33" customHeight="1" x14ac:dyDescent="0.3">
      <c r="A5" s="8" t="s">
        <v>128</v>
      </c>
      <c r="B5" s="49" t="s">
        <v>129</v>
      </c>
    </row>
    <row r="6" spans="1:2" ht="33" customHeight="1" x14ac:dyDescent="0.3">
      <c r="A6" s="8" t="s">
        <v>130</v>
      </c>
      <c r="B6" s="49" t="s">
        <v>131</v>
      </c>
    </row>
    <row r="7" spans="1:2" ht="33" customHeight="1" x14ac:dyDescent="0.3">
      <c r="A7" s="8" t="s">
        <v>132</v>
      </c>
      <c r="B7" s="49" t="s">
        <v>133</v>
      </c>
    </row>
    <row r="8" spans="1:2" ht="33" customHeight="1" x14ac:dyDescent="0.3">
      <c r="A8" s="8" t="s">
        <v>134</v>
      </c>
      <c r="B8" s="49" t="s">
        <v>135</v>
      </c>
    </row>
    <row r="9" spans="1:2" ht="33" customHeight="1" x14ac:dyDescent="0.3">
      <c r="A9" s="8" t="s">
        <v>136</v>
      </c>
      <c r="B9" s="49" t="s">
        <v>137</v>
      </c>
    </row>
    <row r="10" spans="1:2" ht="30" customHeight="1" x14ac:dyDescent="0.3">
      <c r="A10" s="8" t="s">
        <v>138</v>
      </c>
      <c r="B10" s="48" t="s">
        <v>139</v>
      </c>
    </row>
    <row r="11" spans="1:2" ht="30" customHeight="1" x14ac:dyDescent="0.3">
      <c r="A11" s="8" t="s">
        <v>140</v>
      </c>
      <c r="B11" s="48" t="s">
        <v>141</v>
      </c>
    </row>
    <row r="12" spans="1:2" ht="30" customHeight="1" x14ac:dyDescent="0.3">
      <c r="A12" s="8" t="s">
        <v>142</v>
      </c>
      <c r="B12" s="48" t="s">
        <v>143</v>
      </c>
    </row>
    <row r="13" spans="1:2" ht="33" customHeight="1" x14ac:dyDescent="0.3">
      <c r="A13" s="8" t="s">
        <v>144</v>
      </c>
      <c r="B13" s="49" t="s">
        <v>145</v>
      </c>
    </row>
    <row r="14" spans="1:2" ht="30" customHeight="1" x14ac:dyDescent="0.3">
      <c r="A14" s="8" t="s">
        <v>146</v>
      </c>
      <c r="B14" s="48" t="s">
        <v>147</v>
      </c>
    </row>
    <row r="15" spans="1:2" ht="33" customHeight="1" x14ac:dyDescent="0.3">
      <c r="A15" s="8" t="s">
        <v>148</v>
      </c>
      <c r="B15" s="49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Parameters</vt:lpstr>
      <vt:lpstr>Monthly_Data</vt:lpstr>
      <vt:lpstr>Fixed_Cost_Tiers</vt:lpstr>
      <vt:lpstr>DAX_Guide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Ff961</cp:lastModifiedBy>
  <cp:revision>0</cp:revision>
  <dcterms:created xsi:type="dcterms:W3CDTF">2026-03-31T09:04:42Z</dcterms:created>
  <dcterms:modified xsi:type="dcterms:W3CDTF">2026-03-31T09:31:23Z</dcterms:modified>
  <dc:language>en-US</dc:language>
</cp:coreProperties>
</file>